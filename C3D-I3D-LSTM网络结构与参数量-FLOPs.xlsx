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575" firstSheet="1" activeTab="6"/>
  </bookViews>
  <sheets>
    <sheet name="参数和FLOPs对比" sheetId="9" r:id="rId1"/>
    <sheet name="C3D-RGB" sheetId="5" r:id="rId2"/>
    <sheet name="C3DF-Flow" sheetId="7" r:id="rId3"/>
    <sheet name="I3D-RGB" sheetId="4" r:id="rId4"/>
    <sheet name="I3D-Flow" sheetId="1" r:id="rId5"/>
    <sheet name="1-layer LSTM" sheetId="8" r:id="rId6"/>
    <sheet name="FLOPs计算方法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<sst xmlns="http://schemas.openxmlformats.org/spreadsheetml/2006/main" count="896" uniqueCount="145">
  <si>
    <t>批处理大小</t>
  </si>
  <si>
    <t>参数量</t>
  </si>
  <si>
    <t>FLOPs</t>
  </si>
  <si>
    <t>C3D-RGB</t>
  </si>
  <si>
    <t>C3D-Flow</t>
  </si>
  <si>
    <t>I3D-RGB</t>
  </si>
  <si>
    <t>I3D-Flow</t>
  </si>
  <si>
    <t>1-layer LSTM（1个时间节点）</t>
  </si>
  <si>
    <t>3-layer LSTM（16个时间节点）</t>
  </si>
  <si>
    <t>模块名称</t>
  </si>
  <si>
    <t>内部模块</t>
  </si>
  <si>
    <t>输入通道数</t>
  </si>
  <si>
    <t>核尺寸</t>
  </si>
  <si>
    <t>核尺寸大小</t>
  </si>
  <si>
    <t>输出通道数/核数量</t>
  </si>
  <si>
    <t>核步长</t>
  </si>
  <si>
    <t>输出尺寸</t>
  </si>
  <si>
    <t>输出尺寸大小</t>
  </si>
  <si>
    <t>卷积FLOPs</t>
  </si>
  <si>
    <t>池化FLOPs</t>
  </si>
  <si>
    <t>FC FLOPs</t>
  </si>
  <si>
    <t>relu FLOPs</t>
  </si>
  <si>
    <t>总FLOPs</t>
  </si>
  <si>
    <t>module</t>
  </si>
  <si>
    <t>sub-module</t>
  </si>
  <si>
    <t>input_channels</t>
  </si>
  <si>
    <t>ksize</t>
  </si>
  <si>
    <t>ksize_number</t>
  </si>
  <si>
    <t>output_channels</t>
  </si>
  <si>
    <t>strides</t>
  </si>
  <si>
    <t>ouputsize</t>
  </si>
  <si>
    <t>ouputsize_number</t>
  </si>
  <si>
    <t>parameters</t>
  </si>
  <si>
    <t>conv FLOPs</t>
  </si>
  <si>
    <t>pooling FLOPs</t>
  </si>
  <si>
    <t>total FLOPs</t>
  </si>
  <si>
    <t>input</t>
  </si>
  <si>
    <t>16*112*112</t>
  </si>
  <si>
    <t>Conv1a</t>
  </si>
  <si>
    <r>
      <rPr>
        <sz val="11"/>
        <color theme="1"/>
        <rFont val="宋体"/>
        <charset val="134"/>
        <scheme val="minor"/>
      </rPr>
      <t>3*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3</t>
    </r>
  </si>
  <si>
    <t>1*1*1</t>
  </si>
  <si>
    <t>MaxPool1</t>
  </si>
  <si>
    <r>
      <rPr>
        <sz val="11"/>
        <color theme="1"/>
        <rFont val="宋体"/>
        <charset val="134"/>
        <scheme val="minor"/>
      </rPr>
      <t>1*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2</t>
    </r>
  </si>
  <si>
    <t>1*2*2</t>
  </si>
  <si>
    <t>16*56*56</t>
  </si>
  <si>
    <r>
      <rPr>
        <sz val="11"/>
        <color theme="1"/>
        <rFont val="宋体"/>
        <charset val="134"/>
        <scheme val="minor"/>
      </rPr>
      <t>Conv</t>
    </r>
    <r>
      <rPr>
        <sz val="11"/>
        <color theme="1"/>
        <rFont val="宋体"/>
        <charset val="134"/>
        <scheme val="minor"/>
      </rPr>
      <t>2a</t>
    </r>
  </si>
  <si>
    <t>3*3*3</t>
  </si>
  <si>
    <t>MaxPool2</t>
  </si>
  <si>
    <r>
      <rPr>
        <sz val="11"/>
        <color theme="1"/>
        <rFont val="宋体"/>
        <charset val="134"/>
        <scheme val="minor"/>
      </rPr>
      <t>2*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2</t>
    </r>
  </si>
  <si>
    <t>2*2*2</t>
  </si>
  <si>
    <t>8*28*28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</si>
  <si>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onv3a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</si>
  <si>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onv3b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</si>
  <si>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*3*3</t>
    </r>
  </si>
  <si>
    <t>MaxPool3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</si>
  <si>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*2*2</t>
    </r>
  </si>
  <si>
    <t>4*14*14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</si>
  <si>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onv4a</t>
    </r>
  </si>
  <si>
    <t>Conv4b</t>
  </si>
  <si>
    <t>MaxPool4</t>
  </si>
  <si>
    <t>2*7*7</t>
  </si>
  <si>
    <t>Conv5a</t>
  </si>
  <si>
    <t>Conv5b</t>
  </si>
  <si>
    <t>MaxPool5</t>
  </si>
  <si>
    <t>1*4*4</t>
  </si>
  <si>
    <t>FC6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</si>
  <si>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*1*1</t>
    </r>
  </si>
  <si>
    <t>FC7</t>
  </si>
  <si>
    <t>sotfmax</t>
  </si>
  <si>
    <t>C3D-RGB total</t>
  </si>
  <si>
    <t>C3D-Flow total</t>
  </si>
  <si>
    <t>批归一化FLOPs</t>
  </si>
  <si>
    <t>bn FLOPs</t>
  </si>
  <si>
    <t>64*224*224</t>
  </si>
  <si>
    <t>Conv3d_1a</t>
  </si>
  <si>
    <t>7*7*7</t>
  </si>
  <si>
    <t>32*112*112</t>
  </si>
  <si>
    <t>MaxPool3d_2a</t>
  </si>
  <si>
    <t>1*3*3</t>
  </si>
  <si>
    <t>32*56*56</t>
  </si>
  <si>
    <t>Conv3d_2b</t>
  </si>
  <si>
    <t>Conv3d_2c</t>
  </si>
  <si>
    <t>MaxPool3d_3a</t>
  </si>
  <si>
    <t>32*28*28</t>
  </si>
  <si>
    <t>Mixed_3b</t>
  </si>
  <si>
    <t>Branch_0</t>
  </si>
  <si>
    <t>Branch_1</t>
  </si>
  <si>
    <t>Branch_2</t>
  </si>
  <si>
    <t>Branch_3</t>
  </si>
  <si>
    <t>concat</t>
  </si>
  <si>
    <t>Mixed_3c</t>
  </si>
  <si>
    <t>MaxPool3d_4a</t>
  </si>
  <si>
    <t>16*14*14</t>
  </si>
  <si>
    <t>Mixed_4b</t>
  </si>
  <si>
    <t>Mixed_4c</t>
  </si>
  <si>
    <t>Mixed_4d</t>
  </si>
  <si>
    <t>Mixed_4e</t>
  </si>
  <si>
    <t>Mixed_4f</t>
  </si>
  <si>
    <t>MaxPool3d_5a</t>
  </si>
  <si>
    <t>8*7*7</t>
  </si>
  <si>
    <t>Mixed_5b</t>
  </si>
  <si>
    <t>Mixed_5c</t>
  </si>
  <si>
    <t>Avg_pool3d</t>
  </si>
  <si>
    <t>4*1*1</t>
  </si>
  <si>
    <t>conv3d</t>
  </si>
  <si>
    <t>mean</t>
  </si>
  <si>
    <t>I3D-RGB total</t>
  </si>
  <si>
    <t>7*1*1</t>
  </si>
  <si>
    <t>I3D-Flow total</t>
  </si>
  <si>
    <t>输出通道数</t>
  </si>
  <si>
    <t>tanh FLOPs</t>
  </si>
  <si>
    <t>sigmoid FLOPs</t>
  </si>
  <si>
    <t>operation Flops</t>
  </si>
  <si>
    <t>256*512</t>
  </si>
  <si>
    <t>256*1024</t>
  </si>
  <si>
    <t>FC1</t>
  </si>
  <si>
    <t>forget_gate</t>
  </si>
  <si>
    <t>sigmoid</t>
  </si>
  <si>
    <t>multiply</t>
  </si>
  <si>
    <t>input_gate</t>
  </si>
  <si>
    <t>tanh</t>
  </si>
  <si>
    <t>add</t>
  </si>
  <si>
    <t>output_gate</t>
  </si>
  <si>
    <t>计算依据</t>
  </si>
  <si>
    <t>https://github.com/Lyken17/pytorch-OpCounter/blob/master/thop/count_hooks.py</t>
  </si>
  <si>
    <t>Conv layer</t>
  </si>
  <si>
    <t>输出特征通道数 *（输入特征通道数 * 卷积核宽 * 卷积核高）+ 输出特征通道数</t>
  </si>
  <si>
    <t>输出特征通道数 * 输出矩阵宽 * 输出矩阵高 * （2 * 输入特征通道数 * 卷积核宽 * 卷积核高 + 1）</t>
  </si>
  <si>
    <t>FC layer</t>
  </si>
  <si>
    <t>输出特征通道数 * 输入特征通道数 + 输出特征通道数</t>
  </si>
  <si>
    <t>输出特征通道数 *（2* 输入特征通道数 -1）</t>
  </si>
  <si>
    <t>sigmoid layer</t>
  </si>
  <si>
    <t>3 * 输入矩阵宽 * 输入矩阵高 * 输入特征通道数</t>
  </si>
  <si>
    <t>tanh layer</t>
  </si>
  <si>
    <t>7 * 输入矩阵宽 * 输入矩阵高 * 输入特征通道数</t>
  </si>
  <si>
    <t>Relu layer</t>
  </si>
  <si>
    <t>输入矩阵宽 * 输入矩阵高 * 输入特征通道数</t>
  </si>
  <si>
    <t>BN layer</t>
  </si>
  <si>
    <t>4 * 输入矩阵宽 * 输入矩阵高 * 输入特征通道数</t>
  </si>
  <si>
    <t>Avgpool layer</t>
  </si>
  <si>
    <t>输出特征通道数 * 输出矩阵宽 * 输出矩阵高*（卷积核宽 * 卷积核高 +1）</t>
  </si>
  <si>
    <t>Maxpool layer</t>
  </si>
  <si>
    <t>输出特征通道数 * 输出矩阵宽 * 输出矩阵高*（卷积核宽 * 卷积核高）</t>
  </si>
  <si>
    <t>softmax layer</t>
  </si>
  <si>
    <t>输入矩阵宽 * 输入矩阵高 *（3 * 输入特征通道数 -1）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</si>
</sst>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E+00"/>
    <numFmt numFmtId="177" formatCode="#,##0_ "/>
  </numFmts>
  <fonts count="23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0"/>
      <name val="Arial Unicode MS"/>
      <charset val="134"/>
    </font>
    <font>
      <sz val="10"/>
      <color rgb="FF000000"/>
      <name val="Arial Unicode MS"/>
      <charset val="134"/>
    </font>
    <font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14" fillId="15" borderId="4" applyNumberFormat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0" borderId="0" xfId="6" applyAlignment="1"/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4" fillId="0" borderId="0" xfId="0" applyFont="1" applyFill="1"/>
    <xf numFmtId="0" fontId="4" fillId="2" borderId="0" xfId="0" applyFont="1" applyFill="1"/>
    <xf numFmtId="0" fontId="0" fillId="2" borderId="0" xfId="0" applyFill="1"/>
    <xf numFmtId="0" fontId="0" fillId="0" borderId="0" xfId="0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0" fillId="6" borderId="0" xfId="0" applyFill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0" fillId="8" borderId="0" xfId="0" applyFill="1" applyAlignment="1">
      <alignment horizontal="right" vertical="center"/>
    </xf>
    <xf numFmtId="0" fontId="0" fillId="9" borderId="0" xfId="0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3" fillId="2" borderId="0" xfId="0" applyFont="1" applyFill="1"/>
    <xf numFmtId="11" fontId="4" fillId="2" borderId="0" xfId="0" applyNumberFormat="1" applyFont="1" applyFill="1" applyAlignment="1">
      <alignment horizontal="right" vertic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right" vertical="center"/>
    </xf>
    <xf numFmtId="0" fontId="0" fillId="11" borderId="0" xfId="0" applyFill="1" applyAlignment="1">
      <alignment horizontal="right" vertical="center"/>
    </xf>
    <xf numFmtId="11" fontId="4" fillId="0" borderId="0" xfId="0" applyNumberFormat="1" applyFont="1" applyFill="1" applyAlignment="1">
      <alignment horizontal="right" vertical="center"/>
    </xf>
    <xf numFmtId="11" fontId="4" fillId="0" borderId="0" xfId="0" applyNumberFormat="1" applyFont="1" applyFill="1"/>
    <xf numFmtId="176" fontId="4" fillId="2" borderId="0" xfId="0" applyNumberFormat="1" applyFont="1" applyFill="1" applyAlignment="1">
      <alignment horizontal="right" vertical="center"/>
    </xf>
    <xf numFmtId="11" fontId="4" fillId="2" borderId="0" xfId="0" applyNumberFormat="1" applyFont="1" applyFill="1"/>
    <xf numFmtId="11" fontId="0" fillId="2" borderId="0" xfId="0" applyNumberFormat="1" applyFill="1"/>
    <xf numFmtId="0" fontId="0" fillId="0" borderId="0" xfId="0" applyFill="1" applyAlignment="1">
      <alignment horizontal="right" vertical="center"/>
    </xf>
    <xf numFmtId="176" fontId="0" fillId="2" borderId="0" xfId="0" applyNumberFormat="1" applyFill="1" applyAlignment="1">
      <alignment horizontal="right" vertical="center"/>
    </xf>
    <xf numFmtId="0" fontId="0" fillId="2" borderId="0" xfId="3" applyNumberFormat="1" applyFill="1" applyAlignment="1">
      <alignment horizontal="right" vertical="center"/>
    </xf>
    <xf numFmtId="0" fontId="0" fillId="12" borderId="0" xfId="0" applyFill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Font="1" applyFill="1" applyAlignment="1">
      <alignment horizontal="right" vertical="center"/>
    </xf>
    <xf numFmtId="0" fontId="0" fillId="5" borderId="0" xfId="0" applyFont="1" applyFill="1" applyAlignment="1">
      <alignment horizontal="right" vertical="center"/>
    </xf>
    <xf numFmtId="0" fontId="0" fillId="12" borderId="0" xfId="0" applyFont="1" applyFill="1" applyAlignment="1">
      <alignment horizontal="right" vertical="center"/>
    </xf>
    <xf numFmtId="0" fontId="0" fillId="2" borderId="0" xfId="0" applyFont="1" applyFill="1" applyAlignment="1">
      <alignment horizontal="right" vertical="center"/>
    </xf>
    <xf numFmtId="177" fontId="0" fillId="0" borderId="0" xfId="0" applyNumberFormat="1"/>
    <xf numFmtId="1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Lyken17/pytorch-OpCounter/blob/master/thop/count_hooks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8" sqref="A18"/>
    </sheetView>
  </sheetViews>
  <sheetFormatPr defaultColWidth="9" defaultRowHeight="14.4" outlineLevelRow="6" outlineLevelCol="3"/>
  <cols>
    <col min="1" max="1" width="30.6296296296296" customWidth="1"/>
    <col min="2" max="2" width="10.8796296296296" customWidth="1"/>
    <col min="3" max="4" width="9.37962962962963" customWidth="1"/>
    <col min="5" max="5" width="12.6296296296296"/>
  </cols>
  <sheetData>
    <row r="1" spans="1:4">
      <c r="A1" s="43"/>
      <c r="B1" s="43" t="s">
        <v>0</v>
      </c>
      <c r="C1" s="43" t="s">
        <v>1</v>
      </c>
      <c r="D1" s="43" t="s">
        <v>2</v>
      </c>
    </row>
    <row r="2" spans="1:4">
      <c r="A2" s="43" t="s">
        <v>3</v>
      </c>
      <c r="B2" s="43">
        <v>16</v>
      </c>
      <c r="C2" s="44">
        <v>61280016</v>
      </c>
      <c r="D2" s="44">
        <v>77049701088</v>
      </c>
    </row>
    <row r="3" spans="1:4">
      <c r="A3" s="43" t="s">
        <v>4</v>
      </c>
      <c r="B3" s="43">
        <v>16</v>
      </c>
      <c r="C3" s="44">
        <v>61278288</v>
      </c>
      <c r="D3" s="44">
        <v>76355867360</v>
      </c>
    </row>
    <row r="4" spans="1:4">
      <c r="A4" s="43" t="s">
        <v>5</v>
      </c>
      <c r="B4" s="43">
        <v>64</v>
      </c>
      <c r="C4" s="44">
        <v>12299312</v>
      </c>
      <c r="D4" s="44">
        <v>223532000000</v>
      </c>
    </row>
    <row r="5" spans="1:4">
      <c r="A5" s="43" t="s">
        <v>6</v>
      </c>
      <c r="B5" s="43">
        <v>64</v>
      </c>
      <c r="C5" s="44">
        <v>12290800</v>
      </c>
      <c r="D5" s="44">
        <v>205900000000</v>
      </c>
    </row>
    <row r="6" spans="1:4">
      <c r="A6" s="43" t="s">
        <v>7</v>
      </c>
      <c r="B6" s="43">
        <v>256</v>
      </c>
      <c r="C6" s="44">
        <v>524800</v>
      </c>
      <c r="D6" s="44">
        <v>3669504</v>
      </c>
    </row>
    <row r="7" spans="1:4">
      <c r="A7" s="43" t="s">
        <v>8</v>
      </c>
      <c r="B7" s="43">
        <v>256</v>
      </c>
      <c r="C7" s="44">
        <f>524800*48</f>
        <v>25190400</v>
      </c>
      <c r="D7" s="44">
        <f>3669504*48</f>
        <v>176136192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5"/>
  <sheetViews>
    <sheetView zoomScale="90" zoomScaleNormal="90" workbookViewId="0">
      <pane xSplit="2" ySplit="2" topLeftCell="G3" activePane="bottomRight" state="frozen"/>
      <selection/>
      <selection pane="topRight"/>
      <selection pane="bottomLeft"/>
      <selection pane="bottomRight" activeCell="B23" sqref="B23"/>
    </sheetView>
  </sheetViews>
  <sheetFormatPr defaultColWidth="9" defaultRowHeight="14.4"/>
  <cols>
    <col min="1" max="1" width="13.75" style="38" customWidth="1"/>
    <col min="2" max="2" width="11.5" style="38" customWidth="1"/>
    <col min="3" max="3" width="16" style="13" customWidth="1"/>
    <col min="4" max="4" width="7" style="34" customWidth="1"/>
    <col min="5" max="5" width="13.75" style="34" customWidth="1"/>
    <col min="6" max="6" width="17.1296296296296" style="13" customWidth="1"/>
    <col min="7" max="7" width="8.37962962962963" style="13" customWidth="1"/>
    <col min="8" max="8" width="11.5" style="13" customWidth="1"/>
    <col min="9" max="10" width="18.25" style="13" customWidth="1"/>
    <col min="11" max="11" width="11.5" style="22" customWidth="1"/>
    <col min="12" max="12" width="14.8796296296296" style="22" customWidth="1"/>
    <col min="13" max="13" width="12.5" style="8" customWidth="1"/>
    <col min="14" max="14" width="11.5" style="8" customWidth="1"/>
    <col min="15" max="15" width="10.962962962963" style="8" customWidth="1"/>
    <col min="16" max="18" width="9" style="34"/>
    <col min="19" max="16384" width="9" style="12"/>
  </cols>
  <sheetData>
    <row r="1" ht="15" spans="1:15">
      <c r="A1" s="38" t="s">
        <v>9</v>
      </c>
      <c r="B1" s="38" t="s">
        <v>10</v>
      </c>
      <c r="C1" s="3" t="s">
        <v>11</v>
      </c>
      <c r="D1" s="34" t="s">
        <v>12</v>
      </c>
      <c r="E1" s="34" t="s">
        <v>13</v>
      </c>
      <c r="F1" s="3" t="s">
        <v>14</v>
      </c>
      <c r="G1" s="13" t="s">
        <v>15</v>
      </c>
      <c r="H1" s="3" t="s">
        <v>16</v>
      </c>
      <c r="I1" s="3" t="s">
        <v>17</v>
      </c>
      <c r="J1" s="3" t="s">
        <v>1</v>
      </c>
      <c r="K1" s="21" t="s">
        <v>18</v>
      </c>
      <c r="L1" s="21" t="s">
        <v>19</v>
      </c>
      <c r="M1" s="4" t="s">
        <v>20</v>
      </c>
      <c r="N1" s="8" t="s">
        <v>21</v>
      </c>
      <c r="O1" s="4" t="s">
        <v>22</v>
      </c>
    </row>
    <row r="2" spans="1:15">
      <c r="A2" s="38" t="s">
        <v>23</v>
      </c>
      <c r="B2" s="38" t="s">
        <v>24</v>
      </c>
      <c r="C2" s="13" t="s">
        <v>25</v>
      </c>
      <c r="D2" s="34" t="s">
        <v>26</v>
      </c>
      <c r="E2" s="34" t="s">
        <v>27</v>
      </c>
      <c r="F2" s="13" t="s">
        <v>28</v>
      </c>
      <c r="G2" s="13" t="s">
        <v>29</v>
      </c>
      <c r="H2" s="13" t="s">
        <v>30</v>
      </c>
      <c r="I2" s="13" t="s">
        <v>31</v>
      </c>
      <c r="J2" s="13" t="s">
        <v>32</v>
      </c>
      <c r="K2" s="22" t="s">
        <v>33</v>
      </c>
      <c r="L2" s="22" t="s">
        <v>34</v>
      </c>
      <c r="M2" s="8" t="s">
        <v>20</v>
      </c>
      <c r="N2" s="8" t="s">
        <v>21</v>
      </c>
      <c r="O2" s="8" t="s">
        <v>35</v>
      </c>
    </row>
    <row r="3" s="34" customFormat="1" spans="1:15">
      <c r="A3" s="39" t="s">
        <v>36</v>
      </c>
      <c r="C3" s="39"/>
      <c r="D3" s="39"/>
      <c r="E3" s="39"/>
      <c r="F3" s="40">
        <v>3</v>
      </c>
      <c r="G3" s="39"/>
      <c r="H3" s="39" t="s">
        <v>37</v>
      </c>
      <c r="I3" s="39">
        <f>16*112*112</f>
        <v>200704</v>
      </c>
      <c r="K3" s="22"/>
      <c r="L3" s="22"/>
      <c r="M3" s="42"/>
      <c r="N3" s="42"/>
      <c r="O3" s="8"/>
    </row>
    <row r="4" s="34" customFormat="1" spans="1:15">
      <c r="A4" s="39" t="s">
        <v>38</v>
      </c>
      <c r="C4" s="39">
        <v>3</v>
      </c>
      <c r="D4" s="39" t="s">
        <v>39</v>
      </c>
      <c r="E4" s="39">
        <v>27</v>
      </c>
      <c r="F4" s="39">
        <v>64</v>
      </c>
      <c r="G4" s="39" t="s">
        <v>40</v>
      </c>
      <c r="H4" s="39" t="s">
        <v>37</v>
      </c>
      <c r="I4" s="39">
        <f>16*112*112</f>
        <v>200704</v>
      </c>
      <c r="J4" s="34">
        <f t="shared" ref="J4:J9" si="0">C4*E4*F4+F4</f>
        <v>5248</v>
      </c>
      <c r="K4" s="42">
        <f t="shared" ref="K4:K9" si="1">I4*F4*(2*C4*E4+1)</f>
        <v>2093744128</v>
      </c>
      <c r="L4" s="42"/>
      <c r="M4" s="8"/>
      <c r="N4" s="22">
        <f t="shared" ref="N4:N9" si="2">I3*F3</f>
        <v>602112</v>
      </c>
      <c r="O4" s="8"/>
    </row>
    <row r="5" s="37" customFormat="1" spans="1:18">
      <c r="A5" s="41" t="s">
        <v>41</v>
      </c>
      <c r="C5" s="41">
        <v>64</v>
      </c>
      <c r="D5" s="41" t="s">
        <v>42</v>
      </c>
      <c r="E5" s="41">
        <v>4</v>
      </c>
      <c r="F5" s="41">
        <v>64</v>
      </c>
      <c r="G5" s="41" t="s">
        <v>43</v>
      </c>
      <c r="H5" s="41" t="s">
        <v>44</v>
      </c>
      <c r="I5" s="41">
        <f>16*56*56</f>
        <v>50176</v>
      </c>
      <c r="J5" s="37">
        <v>0</v>
      </c>
      <c r="K5" s="42">
        <v>0</v>
      </c>
      <c r="L5" s="42">
        <f t="shared" ref="L5:L10" si="3">I5*E5*F5</f>
        <v>12845056</v>
      </c>
      <c r="M5" s="8"/>
      <c r="N5" s="42"/>
      <c r="O5" s="8"/>
      <c r="P5" s="34"/>
      <c r="Q5" s="34"/>
      <c r="R5" s="34"/>
    </row>
    <row r="6" s="34" customFormat="1" spans="1:15">
      <c r="A6" s="39" t="s">
        <v>45</v>
      </c>
      <c r="C6" s="39">
        <v>64</v>
      </c>
      <c r="D6" s="39" t="s">
        <v>46</v>
      </c>
      <c r="E6" s="39">
        <v>27</v>
      </c>
      <c r="F6" s="39">
        <v>128</v>
      </c>
      <c r="G6" s="39" t="s">
        <v>40</v>
      </c>
      <c r="H6" s="39" t="s">
        <v>44</v>
      </c>
      <c r="I6" s="39">
        <f>16*56*56</f>
        <v>50176</v>
      </c>
      <c r="J6" s="34">
        <f t="shared" si="0"/>
        <v>221312</v>
      </c>
      <c r="K6" s="42">
        <f t="shared" si="1"/>
        <v>22202679296</v>
      </c>
      <c r="L6" s="42"/>
      <c r="M6" s="8"/>
      <c r="N6" s="22">
        <f t="shared" si="2"/>
        <v>3211264</v>
      </c>
      <c r="O6" s="8"/>
    </row>
    <row r="7" s="37" customFormat="1" spans="1:18">
      <c r="A7" s="41" t="s">
        <v>47</v>
      </c>
      <c r="C7" s="41">
        <v>128</v>
      </c>
      <c r="D7" s="41" t="s">
        <v>48</v>
      </c>
      <c r="E7" s="41">
        <v>8</v>
      </c>
      <c r="F7" s="41">
        <v>128</v>
      </c>
      <c r="G7" s="41" t="s">
        <v>49</v>
      </c>
      <c r="H7" s="41" t="s">
        <v>50</v>
      </c>
      <c r="I7" s="41">
        <f t="shared" ref="I7:I9" si="4">8*28*28</f>
        <v>6272</v>
      </c>
      <c r="J7" s="37">
        <v>0</v>
      </c>
      <c r="K7" s="42">
        <v>0</v>
      </c>
      <c r="L7" s="42">
        <f t="shared" si="3"/>
        <v>6422528</v>
      </c>
      <c r="M7" s="8"/>
      <c r="N7" s="42"/>
      <c r="O7" s="8"/>
      <c r="P7" s="34"/>
      <c r="Q7" s="34"/>
      <c r="R7" s="34"/>
    </row>
    <row r="8" s="34" customFormat="1" spans="1:15">
      <c r="A8" s="39" t="s">
        <v>51</v>
      </c>
      <c r="C8" s="39">
        <v>128</v>
      </c>
      <c r="D8" s="39" t="s">
        <v>46</v>
      </c>
      <c r="E8" s="39">
        <v>27</v>
      </c>
      <c r="F8" s="39">
        <v>256</v>
      </c>
      <c r="G8" s="39" t="s">
        <v>40</v>
      </c>
      <c r="H8" s="39" t="s">
        <v>50</v>
      </c>
      <c r="I8" s="39">
        <f t="shared" si="4"/>
        <v>6272</v>
      </c>
      <c r="J8" s="34">
        <f t="shared" si="0"/>
        <v>884992</v>
      </c>
      <c r="K8" s="42">
        <f t="shared" si="1"/>
        <v>11099734016</v>
      </c>
      <c r="L8" s="42"/>
      <c r="M8" s="8"/>
      <c r="N8" s="22">
        <f t="shared" si="2"/>
        <v>802816</v>
      </c>
      <c r="O8" s="8"/>
    </row>
    <row r="9" s="34" customFormat="1" spans="1:15">
      <c r="A9" s="39" t="s">
        <v>52</v>
      </c>
      <c r="C9" s="39">
        <v>256</v>
      </c>
      <c r="D9" s="39" t="s">
        <v>53</v>
      </c>
      <c r="E9" s="39">
        <v>27</v>
      </c>
      <c r="F9" s="39">
        <v>256</v>
      </c>
      <c r="G9" s="39" t="s">
        <v>40</v>
      </c>
      <c r="H9" s="39" t="s">
        <v>50</v>
      </c>
      <c r="I9" s="39">
        <f t="shared" si="4"/>
        <v>6272</v>
      </c>
      <c r="J9" s="34">
        <f t="shared" si="0"/>
        <v>1769728</v>
      </c>
      <c r="K9" s="42">
        <f t="shared" si="1"/>
        <v>22197862400</v>
      </c>
      <c r="L9" s="42"/>
      <c r="M9" s="8"/>
      <c r="N9" s="22">
        <f t="shared" si="2"/>
        <v>1605632</v>
      </c>
      <c r="O9" s="8"/>
    </row>
    <row r="10" s="37" customFormat="1" spans="1:18">
      <c r="A10" s="41" t="s">
        <v>54</v>
      </c>
      <c r="C10" s="41">
        <v>256</v>
      </c>
      <c r="D10" s="41" t="s">
        <v>48</v>
      </c>
      <c r="E10" s="41">
        <v>8</v>
      </c>
      <c r="F10" s="41">
        <v>256</v>
      </c>
      <c r="G10" s="41" t="s">
        <v>55</v>
      </c>
      <c r="H10" s="41" t="s">
        <v>56</v>
      </c>
      <c r="I10" s="41">
        <f t="shared" ref="I10:I12" si="5">4*14*14</f>
        <v>784</v>
      </c>
      <c r="J10" s="37">
        <v>0</v>
      </c>
      <c r="K10" s="42">
        <v>0</v>
      </c>
      <c r="L10" s="42">
        <f t="shared" si="3"/>
        <v>1605632</v>
      </c>
      <c r="M10" s="8"/>
      <c r="N10" s="42"/>
      <c r="O10" s="8"/>
      <c r="P10" s="34"/>
      <c r="Q10" s="34"/>
      <c r="R10" s="34"/>
    </row>
    <row r="11" s="34" customFormat="1" spans="1:15">
      <c r="A11" s="39" t="s">
        <v>57</v>
      </c>
      <c r="C11" s="39">
        <v>256</v>
      </c>
      <c r="D11" s="39" t="s">
        <v>53</v>
      </c>
      <c r="E11" s="39">
        <v>27</v>
      </c>
      <c r="F11" s="39">
        <v>512</v>
      </c>
      <c r="G11" s="39" t="s">
        <v>40</v>
      </c>
      <c r="H11" s="39" t="s">
        <v>56</v>
      </c>
      <c r="I11" s="39">
        <f t="shared" si="5"/>
        <v>784</v>
      </c>
      <c r="J11" s="34">
        <f t="shared" ref="J11:J15" si="6">C11*E11*F11+F11</f>
        <v>3539456</v>
      </c>
      <c r="K11" s="42">
        <f t="shared" ref="K11:K15" si="7">I11*F11*(2*C11*E11+1)</f>
        <v>5549465600</v>
      </c>
      <c r="L11" s="42"/>
      <c r="M11" s="8"/>
      <c r="N11" s="22">
        <f t="shared" ref="N11:N15" si="8">I10*F10</f>
        <v>200704</v>
      </c>
      <c r="O11" s="8"/>
    </row>
    <row r="12" s="34" customFormat="1" spans="1:15">
      <c r="A12" s="39" t="s">
        <v>58</v>
      </c>
      <c r="C12" s="39">
        <v>512</v>
      </c>
      <c r="D12" s="39" t="s">
        <v>46</v>
      </c>
      <c r="E12" s="39">
        <v>27</v>
      </c>
      <c r="F12" s="39">
        <v>512</v>
      </c>
      <c r="G12" s="39" t="s">
        <v>40</v>
      </c>
      <c r="H12" s="39" t="s">
        <v>56</v>
      </c>
      <c r="I12" s="39">
        <f t="shared" si="5"/>
        <v>784</v>
      </c>
      <c r="J12" s="34">
        <f t="shared" si="6"/>
        <v>7078400</v>
      </c>
      <c r="K12" s="42">
        <f t="shared" si="7"/>
        <v>11098529792</v>
      </c>
      <c r="L12" s="42"/>
      <c r="M12" s="8"/>
      <c r="N12" s="22">
        <f t="shared" si="8"/>
        <v>401408</v>
      </c>
      <c r="O12" s="8"/>
    </row>
    <row r="13" s="37" customFormat="1" spans="1:18">
      <c r="A13" s="41" t="s">
        <v>59</v>
      </c>
      <c r="C13" s="41">
        <v>512</v>
      </c>
      <c r="D13" s="41" t="s">
        <v>49</v>
      </c>
      <c r="E13" s="41">
        <v>8</v>
      </c>
      <c r="F13" s="41">
        <v>512</v>
      </c>
      <c r="G13" s="41" t="s">
        <v>49</v>
      </c>
      <c r="H13" s="41" t="s">
        <v>60</v>
      </c>
      <c r="I13" s="41">
        <f t="shared" ref="I13:I16" si="9">2*7*7</f>
        <v>98</v>
      </c>
      <c r="J13" s="37">
        <v>0</v>
      </c>
      <c r="K13" s="42">
        <v>0</v>
      </c>
      <c r="L13" s="42">
        <f>I13*E13*F13</f>
        <v>401408</v>
      </c>
      <c r="M13" s="8"/>
      <c r="N13" s="42"/>
      <c r="O13" s="8"/>
      <c r="P13" s="34"/>
      <c r="Q13" s="34"/>
      <c r="R13" s="34"/>
    </row>
    <row r="14" s="34" customFormat="1" spans="1:15">
      <c r="A14" s="39" t="s">
        <v>61</v>
      </c>
      <c r="C14" s="39">
        <v>512</v>
      </c>
      <c r="D14" s="39" t="s">
        <v>46</v>
      </c>
      <c r="E14" s="39">
        <v>27</v>
      </c>
      <c r="F14" s="39">
        <v>512</v>
      </c>
      <c r="G14" s="39" t="s">
        <v>40</v>
      </c>
      <c r="H14" s="39" t="s">
        <v>60</v>
      </c>
      <c r="I14" s="39">
        <f t="shared" si="9"/>
        <v>98</v>
      </c>
      <c r="J14" s="34">
        <f t="shared" si="6"/>
        <v>7078400</v>
      </c>
      <c r="K14" s="42">
        <f t="shared" si="7"/>
        <v>1387316224</v>
      </c>
      <c r="L14" s="42"/>
      <c r="M14" s="8"/>
      <c r="N14" s="22">
        <f t="shared" si="8"/>
        <v>50176</v>
      </c>
      <c r="O14" s="8"/>
    </row>
    <row r="15" s="34" customFormat="1" spans="1:15">
      <c r="A15" s="39" t="s">
        <v>62</v>
      </c>
      <c r="C15" s="39">
        <v>512</v>
      </c>
      <c r="D15" s="39" t="s">
        <v>46</v>
      </c>
      <c r="E15" s="39">
        <v>27</v>
      </c>
      <c r="F15" s="39">
        <v>512</v>
      </c>
      <c r="G15" s="39" t="s">
        <v>40</v>
      </c>
      <c r="H15" s="39" t="s">
        <v>60</v>
      </c>
      <c r="I15" s="39">
        <f t="shared" si="9"/>
        <v>98</v>
      </c>
      <c r="J15" s="34">
        <f t="shared" si="6"/>
        <v>7078400</v>
      </c>
      <c r="K15" s="42">
        <f t="shared" si="7"/>
        <v>1387316224</v>
      </c>
      <c r="L15" s="42"/>
      <c r="M15" s="8"/>
      <c r="N15" s="22">
        <f t="shared" si="8"/>
        <v>50176</v>
      </c>
      <c r="O15" s="8"/>
    </row>
    <row r="16" s="37" customFormat="1" spans="1:18">
      <c r="A16" s="41" t="s">
        <v>63</v>
      </c>
      <c r="C16" s="41">
        <v>512</v>
      </c>
      <c r="D16" s="41" t="s">
        <v>49</v>
      </c>
      <c r="E16" s="41">
        <v>8</v>
      </c>
      <c r="F16" s="41">
        <v>512</v>
      </c>
      <c r="G16" s="41" t="s">
        <v>49</v>
      </c>
      <c r="H16" s="41" t="s">
        <v>64</v>
      </c>
      <c r="I16" s="41">
        <f t="shared" si="9"/>
        <v>98</v>
      </c>
      <c r="J16" s="37">
        <v>0</v>
      </c>
      <c r="K16" s="42">
        <v>0</v>
      </c>
      <c r="L16" s="42">
        <f>I16*E16*F16</f>
        <v>401408</v>
      </c>
      <c r="M16" s="42"/>
      <c r="N16" s="42"/>
      <c r="O16" s="8"/>
      <c r="P16" s="34"/>
      <c r="Q16" s="34"/>
      <c r="R16" s="34"/>
    </row>
    <row r="17" s="34" customFormat="1" spans="1:15">
      <c r="A17" s="39" t="s">
        <v>65</v>
      </c>
      <c r="B17" s="39"/>
      <c r="C17" s="39">
        <f>512*16</f>
        <v>8192</v>
      </c>
      <c r="D17" s="34">
        <v>1</v>
      </c>
      <c r="E17" s="34">
        <v>1</v>
      </c>
      <c r="F17" s="39">
        <v>4096</v>
      </c>
      <c r="G17" s="39">
        <v>1</v>
      </c>
      <c r="H17" s="39" t="s">
        <v>66</v>
      </c>
      <c r="I17" s="39">
        <f>1*1*1</f>
        <v>1</v>
      </c>
      <c r="J17" s="34">
        <f>C17*E17*F17+F17</f>
        <v>33558528</v>
      </c>
      <c r="K17" s="42">
        <v>0</v>
      </c>
      <c r="L17" s="42"/>
      <c r="M17" s="42">
        <f>F17*(2*C16-1)</f>
        <v>4190208</v>
      </c>
      <c r="N17" s="8"/>
      <c r="O17" s="8"/>
    </row>
    <row r="18" s="34" customFormat="1" spans="1:15">
      <c r="A18" s="39" t="s">
        <v>67</v>
      </c>
      <c r="B18" s="39"/>
      <c r="C18" s="39">
        <v>4096</v>
      </c>
      <c r="D18" s="34">
        <v>1</v>
      </c>
      <c r="E18" s="34">
        <v>1</v>
      </c>
      <c r="F18" s="39">
        <v>16</v>
      </c>
      <c r="G18" s="39">
        <v>1</v>
      </c>
      <c r="H18" s="39" t="s">
        <v>40</v>
      </c>
      <c r="I18" s="39">
        <f>1*1*1</f>
        <v>1</v>
      </c>
      <c r="J18" s="34">
        <f>C18*E18*F18+F18</f>
        <v>65552</v>
      </c>
      <c r="K18" s="42">
        <v>0</v>
      </c>
      <c r="L18" s="42"/>
      <c r="M18" s="42">
        <f>F18*(2*C17-1)</f>
        <v>262128</v>
      </c>
      <c r="N18" s="8"/>
      <c r="O18" s="8"/>
    </row>
    <row r="19" s="34" customFormat="1" spans="1:15">
      <c r="A19" s="39" t="s">
        <v>68</v>
      </c>
      <c r="B19" s="2"/>
      <c r="C19" s="13">
        <v>16</v>
      </c>
      <c r="D19" s="34">
        <v>1</v>
      </c>
      <c r="E19" s="34">
        <v>1</v>
      </c>
      <c r="F19" s="13">
        <v>16</v>
      </c>
      <c r="G19" s="13">
        <v>1</v>
      </c>
      <c r="H19" s="39" t="s">
        <v>40</v>
      </c>
      <c r="I19" s="13">
        <v>1</v>
      </c>
      <c r="J19" s="13">
        <v>0</v>
      </c>
      <c r="K19" s="42">
        <v>0</v>
      </c>
      <c r="L19" s="8">
        <f>I18*F18*(3*F19-1)</f>
        <v>752</v>
      </c>
      <c r="M19" s="8"/>
      <c r="N19" s="8"/>
      <c r="O19" s="8"/>
    </row>
    <row r="20" s="34" customFormat="1" spans="1:15">
      <c r="A20" s="2"/>
      <c r="B20" s="2"/>
      <c r="C20" s="13"/>
      <c r="F20" s="13"/>
      <c r="G20" s="13"/>
      <c r="H20" s="13"/>
      <c r="I20" s="13" t="s">
        <v>69</v>
      </c>
      <c r="J20" s="13">
        <f t="shared" ref="J20:N20" si="10">SUM(J4:J19)</f>
        <v>61280016</v>
      </c>
      <c r="K20" s="24">
        <f t="shared" si="10"/>
        <v>77016647680</v>
      </c>
      <c r="L20" s="24">
        <f t="shared" si="10"/>
        <v>21676784</v>
      </c>
      <c r="M20" s="24">
        <f t="shared" si="10"/>
        <v>4452336</v>
      </c>
      <c r="N20" s="24">
        <f t="shared" si="10"/>
        <v>6924288</v>
      </c>
      <c r="O20" s="8">
        <f>SUM(K20:N20)</f>
        <v>77049701088</v>
      </c>
    </row>
    <row r="21" s="34" customFormat="1" spans="1:15">
      <c r="A21" s="2"/>
      <c r="B21" s="2"/>
      <c r="C21" s="13"/>
      <c r="F21" s="13"/>
      <c r="G21" s="13"/>
      <c r="H21" s="13"/>
      <c r="I21" s="13"/>
      <c r="J21" s="13"/>
      <c r="K21" s="24"/>
      <c r="L21" s="24"/>
      <c r="M21" s="8"/>
      <c r="N21" s="8"/>
      <c r="O21" s="8"/>
    </row>
    <row r="22" s="34" customFormat="1" spans="1:15">
      <c r="A22" s="2"/>
      <c r="B22" s="2"/>
      <c r="C22" s="13"/>
      <c r="F22" s="13"/>
      <c r="G22" s="13"/>
      <c r="H22" s="13"/>
      <c r="I22" s="13"/>
      <c r="J22" s="13"/>
      <c r="K22" s="22"/>
      <c r="L22" s="24"/>
      <c r="M22" s="8"/>
      <c r="N22" s="8"/>
      <c r="O22" s="8"/>
    </row>
    <row r="23" s="34" customFormat="1" spans="1:15">
      <c r="A23" s="2"/>
      <c r="B23" s="2"/>
      <c r="C23" s="13"/>
      <c r="F23" s="13"/>
      <c r="G23" s="13"/>
      <c r="H23" s="13"/>
      <c r="I23" s="13"/>
      <c r="J23" s="13"/>
      <c r="K23" s="24"/>
      <c r="L23" s="24"/>
      <c r="M23" s="8"/>
      <c r="N23" s="8"/>
      <c r="O23" s="8"/>
    </row>
    <row r="24" s="34" customFormat="1" spans="1:15">
      <c r="A24" s="2"/>
      <c r="B24" s="2"/>
      <c r="C24" s="13"/>
      <c r="F24" s="13"/>
      <c r="G24" s="13"/>
      <c r="H24" s="13"/>
      <c r="I24" s="13"/>
      <c r="J24" s="13"/>
      <c r="K24" s="24"/>
      <c r="L24" s="24"/>
      <c r="M24" s="8"/>
      <c r="N24" s="8"/>
      <c r="O24" s="8"/>
    </row>
    <row r="25" s="34" customFormat="1" spans="1:15">
      <c r="A25" s="2"/>
      <c r="B25" s="2"/>
      <c r="C25" s="13"/>
      <c r="F25" s="13"/>
      <c r="G25" s="13"/>
      <c r="H25" s="13"/>
      <c r="I25" s="13"/>
      <c r="J25" s="13"/>
      <c r="K25" s="24"/>
      <c r="L25" s="24"/>
      <c r="M25" s="8"/>
      <c r="N25" s="8"/>
      <c r="O25" s="8"/>
    </row>
    <row r="26" s="34" customFormat="1" spans="1:15">
      <c r="A26" s="2"/>
      <c r="B26" s="2"/>
      <c r="C26" s="13"/>
      <c r="F26" s="13"/>
      <c r="G26" s="13"/>
      <c r="H26" s="13"/>
      <c r="I26" s="13"/>
      <c r="J26" s="13"/>
      <c r="K26" s="24"/>
      <c r="L26" s="24"/>
      <c r="M26" s="8"/>
      <c r="N26" s="8"/>
      <c r="O26" s="8"/>
    </row>
    <row r="27" s="34" customFormat="1" spans="1:15">
      <c r="A27" s="2"/>
      <c r="B27" s="2"/>
      <c r="C27" s="13"/>
      <c r="F27" s="13"/>
      <c r="G27" s="13"/>
      <c r="H27" s="13"/>
      <c r="I27" s="13"/>
      <c r="J27" s="13"/>
      <c r="K27" s="24"/>
      <c r="L27" s="24"/>
      <c r="M27" s="8"/>
      <c r="N27" s="8"/>
      <c r="O27" s="8"/>
    </row>
    <row r="28" s="34" customFormat="1" spans="1:15">
      <c r="A28" s="2"/>
      <c r="B28" s="2"/>
      <c r="C28" s="13"/>
      <c r="F28" s="13"/>
      <c r="G28" s="13"/>
      <c r="H28" s="13"/>
      <c r="I28" s="13"/>
      <c r="J28" s="13"/>
      <c r="K28" s="22"/>
      <c r="L28" s="24"/>
      <c r="M28" s="8"/>
      <c r="N28" s="8"/>
      <c r="O28" s="8"/>
    </row>
    <row r="29" s="34" customFormat="1" spans="1:15">
      <c r="A29" s="2"/>
      <c r="B29" s="2"/>
      <c r="C29" s="13"/>
      <c r="F29" s="13"/>
      <c r="G29" s="13"/>
      <c r="H29" s="13"/>
      <c r="I29" s="13"/>
      <c r="J29" s="13"/>
      <c r="K29" s="24"/>
      <c r="L29" s="24"/>
      <c r="M29" s="8"/>
      <c r="N29" s="8"/>
      <c r="O29" s="8"/>
    </row>
    <row r="30" s="34" customFormat="1" spans="1:15">
      <c r="A30" s="2"/>
      <c r="B30" s="2"/>
      <c r="C30" s="13"/>
      <c r="F30" s="13"/>
      <c r="G30" s="13"/>
      <c r="H30" s="13"/>
      <c r="I30" s="13"/>
      <c r="J30" s="13"/>
      <c r="K30" s="24"/>
      <c r="L30" s="24"/>
      <c r="M30" s="8"/>
      <c r="N30" s="8"/>
      <c r="O30" s="8"/>
    </row>
    <row r="31" s="34" customFormat="1" spans="1:15">
      <c r="A31" s="2"/>
      <c r="B31" s="2"/>
      <c r="C31" s="13"/>
      <c r="F31" s="13"/>
      <c r="G31" s="13"/>
      <c r="H31" s="13"/>
      <c r="I31" s="13"/>
      <c r="J31" s="13"/>
      <c r="K31" s="24"/>
      <c r="L31" s="24"/>
      <c r="M31" s="8"/>
      <c r="N31" s="8"/>
      <c r="O31" s="8"/>
    </row>
    <row r="32" s="34" customFormat="1" spans="1:15">
      <c r="A32" s="2"/>
      <c r="B32" s="2"/>
      <c r="C32" s="13"/>
      <c r="F32" s="13"/>
      <c r="G32" s="13"/>
      <c r="H32" s="13"/>
      <c r="I32" s="13"/>
      <c r="J32" s="13"/>
      <c r="K32" s="24"/>
      <c r="L32" s="24"/>
      <c r="M32" s="8"/>
      <c r="N32" s="8"/>
      <c r="O32" s="8"/>
    </row>
    <row r="33" s="34" customFormat="1" spans="1:15">
      <c r="A33" s="2"/>
      <c r="B33" s="2"/>
      <c r="C33" s="13"/>
      <c r="F33" s="13"/>
      <c r="G33" s="13"/>
      <c r="H33" s="13"/>
      <c r="I33" s="13"/>
      <c r="J33" s="13"/>
      <c r="K33" s="24"/>
      <c r="L33" s="24"/>
      <c r="M33" s="8"/>
      <c r="N33" s="8"/>
      <c r="O33" s="8"/>
    </row>
    <row r="34" s="34" customFormat="1" spans="1:15">
      <c r="A34" s="2"/>
      <c r="B34" s="2"/>
      <c r="C34" s="13"/>
      <c r="F34" s="13"/>
      <c r="G34" s="13"/>
      <c r="H34" s="13"/>
      <c r="I34" s="13"/>
      <c r="J34" s="13"/>
      <c r="K34" s="24"/>
      <c r="L34" s="24"/>
      <c r="M34" s="8"/>
      <c r="N34" s="8"/>
      <c r="O34" s="8"/>
    </row>
    <row r="35" s="34" customFormat="1" spans="1:15">
      <c r="A35" s="2"/>
      <c r="B35" s="2"/>
      <c r="C35" s="13"/>
      <c r="F35" s="13"/>
      <c r="G35" s="13"/>
      <c r="H35" s="13"/>
      <c r="I35" s="13"/>
      <c r="J35" s="13"/>
      <c r="K35" s="24"/>
      <c r="L35" s="24"/>
      <c r="M35" s="8"/>
      <c r="N35" s="8"/>
      <c r="O35" s="8"/>
    </row>
    <row r="36" s="34" customFormat="1" spans="1:15">
      <c r="A36" s="2"/>
      <c r="B36" s="2"/>
      <c r="C36" s="13"/>
      <c r="F36" s="13"/>
      <c r="G36" s="13"/>
      <c r="H36" s="13"/>
      <c r="I36" s="13"/>
      <c r="J36" s="13"/>
      <c r="K36" s="22"/>
      <c r="L36" s="24"/>
      <c r="M36" s="8"/>
      <c r="N36" s="8"/>
      <c r="O36" s="8"/>
    </row>
    <row r="37" s="34" customFormat="1" spans="1:15">
      <c r="A37" s="2"/>
      <c r="B37" s="2"/>
      <c r="C37" s="13"/>
      <c r="F37" s="13"/>
      <c r="G37" s="13"/>
      <c r="H37" s="13"/>
      <c r="I37" s="13"/>
      <c r="J37" s="13"/>
      <c r="K37" s="24"/>
      <c r="L37" s="24"/>
      <c r="M37" s="8"/>
      <c r="N37" s="8"/>
      <c r="O37" s="8"/>
    </row>
    <row r="38" s="34" customFormat="1" spans="1:15">
      <c r="A38" s="2"/>
      <c r="B38" s="2"/>
      <c r="C38" s="13"/>
      <c r="F38" s="13"/>
      <c r="G38" s="13"/>
      <c r="H38" s="13"/>
      <c r="I38" s="13"/>
      <c r="J38" s="13"/>
      <c r="K38" s="24"/>
      <c r="L38" s="24"/>
      <c r="M38" s="8"/>
      <c r="N38" s="8"/>
      <c r="O38" s="8"/>
    </row>
    <row r="39" s="34" customFormat="1" spans="1:15">
      <c r="A39" s="2"/>
      <c r="B39" s="2"/>
      <c r="C39" s="13"/>
      <c r="F39" s="13"/>
      <c r="G39" s="13"/>
      <c r="H39" s="13"/>
      <c r="I39" s="13"/>
      <c r="J39" s="13"/>
      <c r="K39" s="24"/>
      <c r="L39" s="24"/>
      <c r="M39" s="8"/>
      <c r="N39" s="8"/>
      <c r="O39" s="8"/>
    </row>
    <row r="40" s="34" customFormat="1" spans="1:15">
      <c r="A40" s="2"/>
      <c r="B40" s="2"/>
      <c r="C40" s="13"/>
      <c r="F40" s="13"/>
      <c r="G40" s="13"/>
      <c r="H40" s="13"/>
      <c r="I40" s="13"/>
      <c r="J40" s="13"/>
      <c r="K40" s="24"/>
      <c r="L40" s="24"/>
      <c r="M40" s="8"/>
      <c r="N40" s="8"/>
      <c r="O40" s="8"/>
    </row>
    <row r="41" s="34" customFormat="1" spans="1:15">
      <c r="A41" s="2"/>
      <c r="B41" s="2"/>
      <c r="C41" s="13"/>
      <c r="F41" s="13"/>
      <c r="G41" s="13"/>
      <c r="H41" s="13"/>
      <c r="I41" s="13"/>
      <c r="J41" s="13"/>
      <c r="K41" s="24"/>
      <c r="L41" s="24"/>
      <c r="M41" s="8"/>
      <c r="N41" s="8"/>
      <c r="O41" s="8"/>
    </row>
    <row r="42" s="34" customFormat="1" spans="1:15">
      <c r="A42" s="2"/>
      <c r="B42" s="2"/>
      <c r="C42" s="13"/>
      <c r="F42" s="13"/>
      <c r="G42" s="13"/>
      <c r="H42" s="13"/>
      <c r="I42" s="13"/>
      <c r="J42" s="13"/>
      <c r="K42" s="24"/>
      <c r="L42" s="24"/>
      <c r="M42" s="8"/>
      <c r="N42" s="8"/>
      <c r="O42" s="8"/>
    </row>
    <row r="43" s="34" customFormat="1" spans="1:15">
      <c r="A43" s="2"/>
      <c r="B43" s="2"/>
      <c r="C43" s="13"/>
      <c r="F43" s="13"/>
      <c r="G43" s="13"/>
      <c r="H43" s="13"/>
      <c r="I43" s="13"/>
      <c r="J43" s="13"/>
      <c r="K43" s="24"/>
      <c r="L43" s="24"/>
      <c r="M43" s="8"/>
      <c r="N43" s="8"/>
      <c r="O43" s="8"/>
    </row>
    <row r="44" s="34" customFormat="1" spans="1:15">
      <c r="A44" s="2"/>
      <c r="B44" s="2"/>
      <c r="C44" s="13"/>
      <c r="F44" s="13"/>
      <c r="G44" s="13"/>
      <c r="H44" s="13"/>
      <c r="I44" s="13"/>
      <c r="J44" s="13"/>
      <c r="K44" s="22"/>
      <c r="L44" s="24"/>
      <c r="M44" s="8"/>
      <c r="N44" s="8"/>
      <c r="O44" s="8"/>
    </row>
    <row r="45" s="34" customFormat="1" spans="1:15">
      <c r="A45" s="2"/>
      <c r="B45" s="2"/>
      <c r="C45" s="13"/>
      <c r="F45" s="13"/>
      <c r="G45" s="13"/>
      <c r="H45" s="13"/>
      <c r="I45" s="13"/>
      <c r="J45" s="13"/>
      <c r="K45" s="24"/>
      <c r="L45" s="24"/>
      <c r="M45" s="8"/>
      <c r="N45" s="8"/>
      <c r="O45" s="8"/>
    </row>
    <row r="46" s="34" customFormat="1" spans="1:15">
      <c r="A46" s="2"/>
      <c r="B46" s="2"/>
      <c r="C46" s="13"/>
      <c r="F46" s="13"/>
      <c r="G46" s="13"/>
      <c r="H46" s="13"/>
      <c r="I46" s="13"/>
      <c r="J46" s="13"/>
      <c r="K46" s="24"/>
      <c r="L46" s="24"/>
      <c r="M46" s="8"/>
      <c r="N46" s="8"/>
      <c r="O46" s="8"/>
    </row>
    <row r="47" s="34" customFormat="1" spans="1:15">
      <c r="A47" s="2"/>
      <c r="B47" s="2"/>
      <c r="C47" s="13"/>
      <c r="F47" s="13"/>
      <c r="G47" s="13"/>
      <c r="H47" s="13"/>
      <c r="I47" s="13"/>
      <c r="J47" s="13"/>
      <c r="K47" s="24"/>
      <c r="L47" s="24"/>
      <c r="M47" s="8"/>
      <c r="N47" s="8"/>
      <c r="O47" s="8"/>
    </row>
    <row r="48" s="34" customFormat="1" spans="1:15">
      <c r="A48" s="2"/>
      <c r="B48" s="2"/>
      <c r="C48" s="13"/>
      <c r="F48" s="13"/>
      <c r="G48" s="13"/>
      <c r="H48" s="13"/>
      <c r="I48" s="13"/>
      <c r="J48" s="13"/>
      <c r="K48" s="24"/>
      <c r="L48" s="24"/>
      <c r="M48" s="8"/>
      <c r="N48" s="8"/>
      <c r="O48" s="8"/>
    </row>
    <row r="49" s="34" customFormat="1" spans="1:15">
      <c r="A49" s="2"/>
      <c r="B49" s="2"/>
      <c r="C49" s="13"/>
      <c r="F49" s="13"/>
      <c r="G49" s="13"/>
      <c r="H49" s="13"/>
      <c r="I49" s="13"/>
      <c r="J49" s="13"/>
      <c r="K49" s="24"/>
      <c r="L49" s="24"/>
      <c r="M49" s="8"/>
      <c r="N49" s="8"/>
      <c r="O49" s="8"/>
    </row>
    <row r="50" s="34" customFormat="1" spans="1:15">
      <c r="A50" s="2"/>
      <c r="B50" s="2"/>
      <c r="C50" s="13"/>
      <c r="F50" s="13"/>
      <c r="G50" s="13"/>
      <c r="H50" s="13"/>
      <c r="I50" s="13"/>
      <c r="J50" s="13"/>
      <c r="K50" s="24"/>
      <c r="L50" s="24"/>
      <c r="M50" s="8"/>
      <c r="N50" s="8"/>
      <c r="O50" s="8"/>
    </row>
    <row r="51" s="34" customFormat="1" spans="1:15">
      <c r="A51" s="2"/>
      <c r="B51" s="2"/>
      <c r="C51" s="13"/>
      <c r="F51" s="13"/>
      <c r="G51" s="13"/>
      <c r="H51" s="13"/>
      <c r="I51" s="13"/>
      <c r="J51" s="13"/>
      <c r="K51" s="24"/>
      <c r="L51" s="24"/>
      <c r="M51" s="8"/>
      <c r="N51" s="8"/>
      <c r="O51" s="8"/>
    </row>
    <row r="52" s="34" customFormat="1" spans="1:15">
      <c r="A52" s="2"/>
      <c r="B52" s="2"/>
      <c r="C52" s="13"/>
      <c r="F52" s="13"/>
      <c r="G52" s="13"/>
      <c r="H52" s="13"/>
      <c r="I52" s="13"/>
      <c r="J52" s="13"/>
      <c r="K52" s="22"/>
      <c r="L52" s="24"/>
      <c r="M52" s="8"/>
      <c r="N52" s="8"/>
      <c r="O52" s="8"/>
    </row>
    <row r="53" s="34" customFormat="1" spans="1:15">
      <c r="A53" s="2"/>
      <c r="B53" s="2"/>
      <c r="C53" s="13"/>
      <c r="F53" s="13"/>
      <c r="G53" s="13"/>
      <c r="H53" s="13"/>
      <c r="I53" s="13"/>
      <c r="J53" s="13"/>
      <c r="K53" s="24"/>
      <c r="L53" s="24"/>
      <c r="M53" s="8"/>
      <c r="N53" s="8"/>
      <c r="O53" s="8"/>
    </row>
    <row r="54" s="34" customFormat="1" spans="1:15">
      <c r="A54" s="2"/>
      <c r="B54" s="2"/>
      <c r="C54" s="13"/>
      <c r="F54" s="13"/>
      <c r="G54" s="13"/>
      <c r="H54" s="13"/>
      <c r="I54" s="13"/>
      <c r="J54" s="13"/>
      <c r="K54" s="24"/>
      <c r="L54" s="24"/>
      <c r="M54" s="8"/>
      <c r="N54" s="8"/>
      <c r="O54" s="8"/>
    </row>
    <row r="55" s="34" customFormat="1" spans="1:15">
      <c r="A55" s="2"/>
      <c r="B55" s="2"/>
      <c r="C55" s="13"/>
      <c r="F55" s="13"/>
      <c r="G55" s="13"/>
      <c r="H55" s="13"/>
      <c r="I55" s="13"/>
      <c r="J55" s="13"/>
      <c r="K55" s="24"/>
      <c r="L55" s="24"/>
      <c r="M55" s="8"/>
      <c r="N55" s="8"/>
      <c r="O55" s="8"/>
    </row>
    <row r="56" s="34" customFormat="1" spans="1:15">
      <c r="A56" s="2"/>
      <c r="B56" s="2"/>
      <c r="C56" s="13"/>
      <c r="F56" s="13"/>
      <c r="G56" s="13"/>
      <c r="H56" s="13"/>
      <c r="I56" s="13"/>
      <c r="J56" s="13"/>
      <c r="K56" s="24"/>
      <c r="L56" s="24"/>
      <c r="M56" s="8"/>
      <c r="N56" s="8"/>
      <c r="O56" s="8"/>
    </row>
    <row r="57" s="34" customFormat="1" spans="1:15">
      <c r="A57" s="2"/>
      <c r="B57" s="2"/>
      <c r="C57" s="13"/>
      <c r="F57" s="13"/>
      <c r="G57" s="13"/>
      <c r="H57" s="13"/>
      <c r="I57" s="13"/>
      <c r="J57" s="13"/>
      <c r="K57" s="24"/>
      <c r="L57" s="24"/>
      <c r="M57" s="8"/>
      <c r="N57" s="8"/>
      <c r="O57" s="8"/>
    </row>
    <row r="58" s="34" customFormat="1" spans="1:15">
      <c r="A58" s="2"/>
      <c r="B58" s="2"/>
      <c r="C58" s="13"/>
      <c r="F58" s="13"/>
      <c r="G58" s="13"/>
      <c r="H58" s="13"/>
      <c r="I58" s="13"/>
      <c r="J58" s="13"/>
      <c r="K58" s="24"/>
      <c r="L58" s="24"/>
      <c r="M58" s="8"/>
      <c r="N58" s="8"/>
      <c r="O58" s="8"/>
    </row>
    <row r="59" s="34" customFormat="1" spans="1:15">
      <c r="A59" s="2"/>
      <c r="B59" s="2"/>
      <c r="C59" s="13"/>
      <c r="F59" s="13"/>
      <c r="G59" s="13"/>
      <c r="H59" s="13"/>
      <c r="I59" s="13"/>
      <c r="J59" s="13"/>
      <c r="K59" s="24"/>
      <c r="L59" s="24"/>
      <c r="M59" s="8"/>
      <c r="N59" s="8"/>
      <c r="O59" s="8"/>
    </row>
    <row r="60" s="34" customFormat="1" spans="1:15">
      <c r="A60" s="2"/>
      <c r="B60" s="2"/>
      <c r="C60" s="13"/>
      <c r="F60" s="13"/>
      <c r="G60" s="13"/>
      <c r="H60" s="13"/>
      <c r="I60" s="13"/>
      <c r="J60" s="13"/>
      <c r="K60" s="22"/>
      <c r="L60" s="24"/>
      <c r="M60" s="8"/>
      <c r="N60" s="8"/>
      <c r="O60" s="8"/>
    </row>
    <row r="61" s="34" customFormat="1" spans="1:15">
      <c r="A61" s="2"/>
      <c r="B61" s="2"/>
      <c r="C61" s="13"/>
      <c r="F61" s="13"/>
      <c r="G61" s="13"/>
      <c r="H61" s="13"/>
      <c r="I61" s="13"/>
      <c r="J61" s="13"/>
      <c r="K61" s="24"/>
      <c r="L61" s="24"/>
      <c r="M61" s="8"/>
      <c r="N61" s="8"/>
      <c r="O61" s="8"/>
    </row>
    <row r="62" s="34" customFormat="1" spans="1:15">
      <c r="A62" s="2"/>
      <c r="B62" s="2"/>
      <c r="C62" s="13"/>
      <c r="F62" s="13"/>
      <c r="G62" s="13"/>
      <c r="H62" s="13"/>
      <c r="I62" s="13"/>
      <c r="J62" s="13"/>
      <c r="K62" s="24"/>
      <c r="L62" s="24"/>
      <c r="M62" s="8"/>
      <c r="N62" s="8"/>
      <c r="O62" s="8"/>
    </row>
    <row r="63" s="34" customFormat="1" spans="1:15">
      <c r="A63" s="2"/>
      <c r="B63" s="2"/>
      <c r="C63" s="13"/>
      <c r="F63" s="13"/>
      <c r="G63" s="13"/>
      <c r="H63" s="13"/>
      <c r="I63" s="13"/>
      <c r="J63" s="13"/>
      <c r="K63" s="22"/>
      <c r="L63" s="24"/>
      <c r="M63" s="8"/>
      <c r="N63" s="8"/>
      <c r="O63" s="8"/>
    </row>
    <row r="64" s="34" customFormat="1" spans="1:15">
      <c r="A64" s="2"/>
      <c r="B64" s="2"/>
      <c r="C64" s="13"/>
      <c r="F64" s="13"/>
      <c r="G64" s="13"/>
      <c r="H64" s="13"/>
      <c r="I64" s="13"/>
      <c r="J64" s="13"/>
      <c r="K64" s="24"/>
      <c r="L64" s="24"/>
      <c r="M64" s="8"/>
      <c r="N64" s="8"/>
      <c r="O64" s="8"/>
    </row>
    <row r="65" s="34" customFormat="1" spans="1:15">
      <c r="A65" s="2"/>
      <c r="B65" s="2"/>
      <c r="C65" s="13"/>
      <c r="F65" s="13"/>
      <c r="G65" s="13"/>
      <c r="H65" s="13"/>
      <c r="I65" s="13"/>
      <c r="J65" s="13"/>
      <c r="K65" s="24"/>
      <c r="L65" s="24"/>
      <c r="M65" s="8"/>
      <c r="N65" s="8"/>
      <c r="O65" s="8"/>
    </row>
    <row r="66" s="34" customFormat="1" spans="1:15">
      <c r="A66" s="2"/>
      <c r="B66" s="2"/>
      <c r="C66" s="13"/>
      <c r="F66" s="13"/>
      <c r="G66" s="13"/>
      <c r="H66" s="13"/>
      <c r="I66" s="13"/>
      <c r="J66" s="13"/>
      <c r="K66" s="24"/>
      <c r="L66" s="24"/>
      <c r="M66" s="8"/>
      <c r="N66" s="8"/>
      <c r="O66" s="8"/>
    </row>
    <row r="67" s="34" customFormat="1" spans="1:15">
      <c r="A67" s="2"/>
      <c r="B67" s="2"/>
      <c r="C67" s="13"/>
      <c r="F67" s="13"/>
      <c r="G67" s="13"/>
      <c r="H67" s="13"/>
      <c r="I67" s="13"/>
      <c r="J67" s="13"/>
      <c r="K67" s="24"/>
      <c r="L67" s="24"/>
      <c r="M67" s="8"/>
      <c r="N67" s="8"/>
      <c r="O67" s="8"/>
    </row>
    <row r="68" s="34" customFormat="1" spans="1:15">
      <c r="A68" s="2"/>
      <c r="B68" s="2"/>
      <c r="C68" s="13"/>
      <c r="F68" s="13"/>
      <c r="G68" s="13"/>
      <c r="H68" s="13"/>
      <c r="I68" s="13"/>
      <c r="J68" s="13"/>
      <c r="K68" s="24"/>
      <c r="L68" s="24"/>
      <c r="M68" s="8"/>
      <c r="N68" s="8"/>
      <c r="O68" s="8"/>
    </row>
    <row r="69" s="34" customFormat="1" spans="1:15">
      <c r="A69" s="2"/>
      <c r="B69" s="2"/>
      <c r="C69" s="13"/>
      <c r="F69" s="13"/>
      <c r="G69" s="13"/>
      <c r="H69" s="13"/>
      <c r="I69" s="13"/>
      <c r="J69" s="13"/>
      <c r="K69" s="22"/>
      <c r="L69" s="24"/>
      <c r="M69" s="8"/>
      <c r="N69" s="8"/>
      <c r="O69" s="8"/>
    </row>
    <row r="70" s="34" customFormat="1" spans="1:15">
      <c r="A70" s="2"/>
      <c r="B70" s="2"/>
      <c r="C70" s="13"/>
      <c r="F70" s="13"/>
      <c r="G70" s="13"/>
      <c r="H70" s="13"/>
      <c r="I70" s="13"/>
      <c r="J70" s="13"/>
      <c r="K70" s="24"/>
      <c r="L70" s="24"/>
      <c r="M70" s="8"/>
      <c r="N70" s="8"/>
      <c r="O70" s="8"/>
    </row>
    <row r="71" s="34" customFormat="1" spans="1:15">
      <c r="A71" s="2"/>
      <c r="B71" s="2"/>
      <c r="C71" s="13"/>
      <c r="F71" s="13"/>
      <c r="G71" s="13"/>
      <c r="H71" s="13"/>
      <c r="I71" s="13"/>
      <c r="J71" s="13"/>
      <c r="K71" s="24"/>
      <c r="L71" s="24"/>
      <c r="M71" s="8"/>
      <c r="N71" s="8"/>
      <c r="O71" s="8"/>
    </row>
    <row r="72" s="34" customFormat="1" spans="1:15">
      <c r="A72" s="2"/>
      <c r="B72" s="2"/>
      <c r="C72" s="13"/>
      <c r="F72" s="13"/>
      <c r="G72" s="13"/>
      <c r="H72" s="13"/>
      <c r="I72" s="13"/>
      <c r="J72" s="13"/>
      <c r="K72" s="24"/>
      <c r="L72" s="24"/>
      <c r="M72" s="8"/>
      <c r="N72" s="8"/>
      <c r="O72" s="8"/>
    </row>
    <row r="73" s="34" customFormat="1" spans="1:15">
      <c r="A73" s="2"/>
      <c r="B73" s="2"/>
      <c r="C73" s="13"/>
      <c r="F73" s="13"/>
      <c r="G73" s="13"/>
      <c r="H73" s="13"/>
      <c r="I73" s="13"/>
      <c r="J73" s="13"/>
      <c r="K73" s="24"/>
      <c r="L73" s="24"/>
      <c r="M73" s="8"/>
      <c r="N73" s="8"/>
      <c r="O73" s="8"/>
    </row>
    <row r="74" s="34" customFormat="1" spans="1:15">
      <c r="A74" s="2"/>
      <c r="B74" s="2"/>
      <c r="C74" s="13"/>
      <c r="F74" s="13"/>
      <c r="G74" s="13"/>
      <c r="H74" s="13"/>
      <c r="I74" s="13"/>
      <c r="J74" s="13"/>
      <c r="K74" s="24"/>
      <c r="L74" s="24"/>
      <c r="M74" s="8"/>
      <c r="N74" s="8"/>
      <c r="O74" s="8"/>
    </row>
    <row r="75" s="34" customFormat="1" spans="1:15">
      <c r="A75" s="2"/>
      <c r="B75" s="2"/>
      <c r="C75" s="13"/>
      <c r="F75" s="13"/>
      <c r="G75" s="13"/>
      <c r="H75" s="13"/>
      <c r="I75" s="13"/>
      <c r="J75" s="13"/>
      <c r="K75" s="24"/>
      <c r="L75" s="24"/>
      <c r="M75" s="8"/>
      <c r="N75" s="8"/>
      <c r="O75" s="8"/>
    </row>
    <row r="76" s="34" customFormat="1" spans="1:15">
      <c r="A76" s="2"/>
      <c r="B76" s="2"/>
      <c r="C76" s="13"/>
      <c r="F76" s="13"/>
      <c r="G76" s="13"/>
      <c r="H76" s="13"/>
      <c r="I76" s="13"/>
      <c r="J76" s="13"/>
      <c r="K76" s="24"/>
      <c r="L76" s="24"/>
      <c r="M76" s="8"/>
      <c r="N76" s="8"/>
      <c r="O76" s="8"/>
    </row>
    <row r="77" s="34" customFormat="1" spans="1:15">
      <c r="A77" s="2"/>
      <c r="B77" s="2"/>
      <c r="C77" s="13"/>
      <c r="F77" s="13"/>
      <c r="G77" s="13"/>
      <c r="H77" s="13"/>
      <c r="I77" s="13"/>
      <c r="J77" s="13"/>
      <c r="K77" s="22"/>
      <c r="L77" s="24"/>
      <c r="M77" s="8"/>
      <c r="N77" s="8"/>
      <c r="O77" s="8"/>
    </row>
    <row r="78" s="34" customFormat="1" spans="1:15">
      <c r="A78" s="2"/>
      <c r="B78" s="2"/>
      <c r="C78" s="13"/>
      <c r="F78" s="13"/>
      <c r="G78" s="13"/>
      <c r="H78" s="13"/>
      <c r="I78" s="13"/>
      <c r="J78" s="13"/>
      <c r="K78" s="24"/>
      <c r="L78" s="24"/>
      <c r="M78" s="8"/>
      <c r="N78" s="8"/>
      <c r="O78" s="8"/>
    </row>
    <row r="79" s="34" customFormat="1" spans="1:15">
      <c r="A79" s="2"/>
      <c r="B79" s="2"/>
      <c r="C79" s="13"/>
      <c r="F79" s="13"/>
      <c r="G79" s="13"/>
      <c r="H79" s="13"/>
      <c r="I79" s="13"/>
      <c r="J79" s="13"/>
      <c r="K79" s="24"/>
      <c r="L79" s="24"/>
      <c r="M79" s="8"/>
      <c r="N79" s="8"/>
      <c r="O79" s="8"/>
    </row>
    <row r="80" s="34" customFormat="1" spans="1:15">
      <c r="A80" s="2"/>
      <c r="B80" s="2"/>
      <c r="C80" s="13"/>
      <c r="F80" s="13"/>
      <c r="G80" s="13"/>
      <c r="H80" s="13"/>
      <c r="I80" s="13"/>
      <c r="J80" s="13"/>
      <c r="K80" s="22"/>
      <c r="L80" s="24"/>
      <c r="M80" s="8"/>
      <c r="N80" s="8"/>
      <c r="O80" s="8"/>
    </row>
    <row r="81" s="34" customFormat="1" spans="1:15">
      <c r="A81" s="2"/>
      <c r="B81" s="2"/>
      <c r="C81" s="13"/>
      <c r="F81" s="13"/>
      <c r="G81" s="13"/>
      <c r="H81" s="13"/>
      <c r="I81" s="13"/>
      <c r="J81" s="13"/>
      <c r="K81" s="24"/>
      <c r="L81" s="24"/>
      <c r="M81" s="8"/>
      <c r="N81" s="8"/>
      <c r="O81" s="8"/>
    </row>
    <row r="82" s="34" customFormat="1" spans="1:15">
      <c r="A82" s="2"/>
      <c r="B82" s="2"/>
      <c r="C82" s="13"/>
      <c r="F82" s="13"/>
      <c r="G82" s="13"/>
      <c r="H82" s="13"/>
      <c r="I82" s="13"/>
      <c r="J82" s="13"/>
      <c r="K82" s="22"/>
      <c r="L82" s="24"/>
      <c r="M82" s="8"/>
      <c r="N82" s="8"/>
      <c r="O82" s="8"/>
    </row>
    <row r="83" s="34" customFormat="1" spans="1:15">
      <c r="A83" s="2"/>
      <c r="B83" s="2"/>
      <c r="C83" s="29"/>
      <c r="F83" s="13"/>
      <c r="G83" s="13"/>
      <c r="H83" s="13"/>
      <c r="I83" s="13"/>
      <c r="J83" s="13"/>
      <c r="K83" s="35"/>
      <c r="L83" s="35"/>
      <c r="M83" s="35"/>
      <c r="N83" s="35"/>
      <c r="O83" s="35"/>
    </row>
    <row r="84" s="34" customFormat="1" spans="1:15">
      <c r="A84" s="2"/>
      <c r="B84" s="2"/>
      <c r="C84" s="13"/>
      <c r="F84" s="13"/>
      <c r="G84" s="13"/>
      <c r="H84" s="13"/>
      <c r="I84" s="13"/>
      <c r="J84" s="13"/>
      <c r="K84" s="35"/>
      <c r="L84" s="35"/>
      <c r="M84" s="35"/>
      <c r="N84" s="35"/>
      <c r="O84" s="35"/>
    </row>
    <row r="85" spans="11:15">
      <c r="K85" s="35"/>
      <c r="L85" s="35"/>
      <c r="M85" s="35"/>
      <c r="N85" s="35"/>
      <c r="O85" s="3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5"/>
  <sheetViews>
    <sheetView zoomScale="90" zoomScaleNormal="90" workbookViewId="0">
      <pane xSplit="2" ySplit="2" topLeftCell="G3" activePane="bottomRight" state="frozen"/>
      <selection/>
      <selection pane="topRight"/>
      <selection pane="bottomLeft"/>
      <selection pane="bottomRight" activeCell="L13" sqref="L13"/>
    </sheetView>
  </sheetViews>
  <sheetFormatPr defaultColWidth="9" defaultRowHeight="14.4"/>
  <cols>
    <col min="1" max="1" width="13.75" style="38" customWidth="1"/>
    <col min="2" max="2" width="11.5" style="38" customWidth="1"/>
    <col min="3" max="3" width="16" style="13" customWidth="1"/>
    <col min="4" max="4" width="7" style="34" customWidth="1"/>
    <col min="5" max="5" width="13.75" style="34" customWidth="1"/>
    <col min="6" max="6" width="17.1296296296296" style="13" customWidth="1"/>
    <col min="7" max="7" width="8.37962962962963" style="13" customWidth="1"/>
    <col min="8" max="8" width="11.5" style="13" customWidth="1"/>
    <col min="9" max="10" width="18.25" style="13" customWidth="1"/>
    <col min="11" max="11" width="11.5" style="22" customWidth="1"/>
    <col min="12" max="12" width="14.8796296296296" style="22" customWidth="1"/>
    <col min="13" max="13" width="12.5" style="22" customWidth="1"/>
    <col min="14" max="14" width="11.5" style="22" customWidth="1"/>
    <col min="15" max="15" width="10.962962962963" style="22" customWidth="1"/>
    <col min="16" max="18" width="9" style="34"/>
    <col min="19" max="16384" width="9" style="12"/>
  </cols>
  <sheetData>
    <row r="1" ht="15" spans="1:15">
      <c r="A1" s="38" t="s">
        <v>9</v>
      </c>
      <c r="B1" s="38" t="s">
        <v>10</v>
      </c>
      <c r="C1" s="3" t="s">
        <v>11</v>
      </c>
      <c r="D1" s="34" t="s">
        <v>12</v>
      </c>
      <c r="E1" s="34" t="s">
        <v>13</v>
      </c>
      <c r="F1" s="3" t="s">
        <v>14</v>
      </c>
      <c r="G1" s="13" t="s">
        <v>15</v>
      </c>
      <c r="H1" s="3" t="s">
        <v>16</v>
      </c>
      <c r="I1" s="3" t="s">
        <v>17</v>
      </c>
      <c r="J1" s="3" t="s">
        <v>1</v>
      </c>
      <c r="K1" s="21" t="s">
        <v>18</v>
      </c>
      <c r="L1" s="21" t="s">
        <v>19</v>
      </c>
      <c r="M1" s="21" t="s">
        <v>20</v>
      </c>
      <c r="N1" s="22" t="s">
        <v>21</v>
      </c>
      <c r="O1" s="21" t="s">
        <v>22</v>
      </c>
    </row>
    <row r="2" spans="1:15">
      <c r="A2" s="38" t="s">
        <v>23</v>
      </c>
      <c r="B2" s="38" t="s">
        <v>24</v>
      </c>
      <c r="C2" s="13" t="s">
        <v>25</v>
      </c>
      <c r="D2" s="34" t="s">
        <v>26</v>
      </c>
      <c r="E2" s="34" t="s">
        <v>27</v>
      </c>
      <c r="F2" s="13" t="s">
        <v>28</v>
      </c>
      <c r="G2" s="13" t="s">
        <v>29</v>
      </c>
      <c r="H2" s="13" t="s">
        <v>30</v>
      </c>
      <c r="I2" s="13" t="s">
        <v>31</v>
      </c>
      <c r="J2" s="13" t="s">
        <v>32</v>
      </c>
      <c r="K2" s="22" t="s">
        <v>33</v>
      </c>
      <c r="L2" s="22" t="s">
        <v>34</v>
      </c>
      <c r="M2" s="22" t="s">
        <v>20</v>
      </c>
      <c r="N2" s="22" t="s">
        <v>21</v>
      </c>
      <c r="O2" s="22" t="s">
        <v>35</v>
      </c>
    </row>
    <row r="3" s="34" customFormat="1" spans="1:15">
      <c r="A3" s="39" t="s">
        <v>36</v>
      </c>
      <c r="C3" s="39"/>
      <c r="D3" s="39"/>
      <c r="E3" s="39"/>
      <c r="F3" s="40">
        <v>2</v>
      </c>
      <c r="G3" s="39"/>
      <c r="H3" s="39" t="s">
        <v>37</v>
      </c>
      <c r="I3" s="39">
        <f>16*112*112</f>
        <v>200704</v>
      </c>
      <c r="K3" s="22"/>
      <c r="L3" s="22"/>
      <c r="M3" s="22"/>
      <c r="N3" s="22"/>
      <c r="O3" s="22"/>
    </row>
    <row r="4" s="34" customFormat="1" spans="1:15">
      <c r="A4" s="39" t="s">
        <v>38</v>
      </c>
      <c r="C4" s="39">
        <v>2</v>
      </c>
      <c r="D4" s="39" t="s">
        <v>39</v>
      </c>
      <c r="E4" s="39">
        <v>27</v>
      </c>
      <c r="F4" s="39">
        <v>64</v>
      </c>
      <c r="G4" s="39" t="s">
        <v>40</v>
      </c>
      <c r="H4" s="39" t="s">
        <v>37</v>
      </c>
      <c r="I4" s="39">
        <f>16*112*112</f>
        <v>200704</v>
      </c>
      <c r="J4" s="34">
        <f t="shared" ref="J4:J9" si="0">C4*E4*F4+F4</f>
        <v>3520</v>
      </c>
      <c r="K4" s="22">
        <f t="shared" ref="K4:K9" si="1">I4*F4*(2*C4*E4+1)</f>
        <v>1400111104</v>
      </c>
      <c r="L4" s="22"/>
      <c r="M4" s="22"/>
      <c r="N4" s="22">
        <f t="shared" ref="N4:N9" si="2">I3*F3</f>
        <v>401408</v>
      </c>
      <c r="O4" s="22"/>
    </row>
    <row r="5" s="37" customFormat="1" spans="1:18">
      <c r="A5" s="41" t="s">
        <v>41</v>
      </c>
      <c r="C5" s="41">
        <v>64</v>
      </c>
      <c r="D5" s="41" t="s">
        <v>42</v>
      </c>
      <c r="E5" s="41">
        <v>4</v>
      </c>
      <c r="F5" s="41">
        <v>64</v>
      </c>
      <c r="G5" s="41" t="s">
        <v>43</v>
      </c>
      <c r="H5" s="41" t="s">
        <v>44</v>
      </c>
      <c r="I5" s="41">
        <f>16*56*56</f>
        <v>50176</v>
      </c>
      <c r="J5" s="37">
        <v>0</v>
      </c>
      <c r="K5" s="22">
        <v>0</v>
      </c>
      <c r="L5" s="22">
        <f t="shared" ref="L5:L10" si="3">I5*E5*F5</f>
        <v>12845056</v>
      </c>
      <c r="M5" s="22"/>
      <c r="N5" s="22"/>
      <c r="O5" s="22"/>
      <c r="P5" s="34"/>
      <c r="Q5" s="34"/>
      <c r="R5" s="34"/>
    </row>
    <row r="6" s="34" customFormat="1" spans="1:15">
      <c r="A6" s="39" t="s">
        <v>45</v>
      </c>
      <c r="C6" s="39">
        <v>64</v>
      </c>
      <c r="D6" s="39" t="s">
        <v>46</v>
      </c>
      <c r="E6" s="39">
        <v>27</v>
      </c>
      <c r="F6" s="39">
        <v>128</v>
      </c>
      <c r="G6" s="39" t="s">
        <v>40</v>
      </c>
      <c r="H6" s="39" t="s">
        <v>44</v>
      </c>
      <c r="I6" s="39">
        <f>16*56*56</f>
        <v>50176</v>
      </c>
      <c r="J6" s="34">
        <f t="shared" si="0"/>
        <v>221312</v>
      </c>
      <c r="K6" s="22">
        <f t="shared" si="1"/>
        <v>22202679296</v>
      </c>
      <c r="L6" s="22"/>
      <c r="M6" s="22"/>
      <c r="N6" s="22">
        <f t="shared" si="2"/>
        <v>3211264</v>
      </c>
      <c r="O6" s="22"/>
    </row>
    <row r="7" s="37" customFormat="1" spans="1:18">
      <c r="A7" s="41" t="s">
        <v>47</v>
      </c>
      <c r="C7" s="41">
        <v>128</v>
      </c>
      <c r="D7" s="41" t="s">
        <v>48</v>
      </c>
      <c r="E7" s="41">
        <v>8</v>
      </c>
      <c r="F7" s="41">
        <v>128</v>
      </c>
      <c r="G7" s="41" t="s">
        <v>49</v>
      </c>
      <c r="H7" s="41" t="s">
        <v>50</v>
      </c>
      <c r="I7" s="41">
        <f t="shared" ref="I7:I9" si="4">8*28*28</f>
        <v>6272</v>
      </c>
      <c r="J7" s="37">
        <v>0</v>
      </c>
      <c r="K7" s="22">
        <v>0</v>
      </c>
      <c r="L7" s="22">
        <f t="shared" si="3"/>
        <v>6422528</v>
      </c>
      <c r="M7" s="22"/>
      <c r="N7" s="22"/>
      <c r="O7" s="22"/>
      <c r="P7" s="34"/>
      <c r="Q7" s="34"/>
      <c r="R7" s="34"/>
    </row>
    <row r="8" s="34" customFormat="1" spans="1:15">
      <c r="A8" s="39" t="s">
        <v>51</v>
      </c>
      <c r="C8" s="39">
        <v>128</v>
      </c>
      <c r="D8" s="39" t="s">
        <v>46</v>
      </c>
      <c r="E8" s="39">
        <v>27</v>
      </c>
      <c r="F8" s="39">
        <v>256</v>
      </c>
      <c r="G8" s="39" t="s">
        <v>40</v>
      </c>
      <c r="H8" s="39" t="s">
        <v>50</v>
      </c>
      <c r="I8" s="39">
        <f t="shared" si="4"/>
        <v>6272</v>
      </c>
      <c r="J8" s="34">
        <f t="shared" si="0"/>
        <v>884992</v>
      </c>
      <c r="K8" s="22">
        <f t="shared" si="1"/>
        <v>11099734016</v>
      </c>
      <c r="L8" s="22"/>
      <c r="M8" s="22"/>
      <c r="N8" s="22">
        <f t="shared" si="2"/>
        <v>802816</v>
      </c>
      <c r="O8" s="22"/>
    </row>
    <row r="9" s="34" customFormat="1" spans="1:15">
      <c r="A9" s="39" t="s">
        <v>52</v>
      </c>
      <c r="C9" s="39">
        <v>256</v>
      </c>
      <c r="D9" s="39" t="s">
        <v>53</v>
      </c>
      <c r="E9" s="39">
        <v>27</v>
      </c>
      <c r="F9" s="39">
        <v>256</v>
      </c>
      <c r="G9" s="39" t="s">
        <v>40</v>
      </c>
      <c r="H9" s="39" t="s">
        <v>50</v>
      </c>
      <c r="I9" s="39">
        <f t="shared" si="4"/>
        <v>6272</v>
      </c>
      <c r="J9" s="34">
        <f t="shared" si="0"/>
        <v>1769728</v>
      </c>
      <c r="K9" s="22">
        <f t="shared" si="1"/>
        <v>22197862400</v>
      </c>
      <c r="L9" s="22"/>
      <c r="M9" s="22"/>
      <c r="N9" s="22">
        <f t="shared" si="2"/>
        <v>1605632</v>
      </c>
      <c r="O9" s="22"/>
    </row>
    <row r="10" s="37" customFormat="1" spans="1:18">
      <c r="A10" s="41" t="s">
        <v>54</v>
      </c>
      <c r="C10" s="41">
        <v>256</v>
      </c>
      <c r="D10" s="41" t="s">
        <v>48</v>
      </c>
      <c r="E10" s="41">
        <v>8</v>
      </c>
      <c r="F10" s="41">
        <v>256</v>
      </c>
      <c r="G10" s="41" t="s">
        <v>55</v>
      </c>
      <c r="H10" s="41" t="s">
        <v>56</v>
      </c>
      <c r="I10" s="41">
        <f t="shared" ref="I10:I12" si="5">4*14*14</f>
        <v>784</v>
      </c>
      <c r="J10" s="37">
        <v>0</v>
      </c>
      <c r="K10" s="22">
        <v>0</v>
      </c>
      <c r="L10" s="22">
        <f t="shared" si="3"/>
        <v>1605632</v>
      </c>
      <c r="M10" s="22"/>
      <c r="N10" s="22"/>
      <c r="O10" s="22"/>
      <c r="P10" s="34"/>
      <c r="Q10" s="34"/>
      <c r="R10" s="34"/>
    </row>
    <row r="11" s="34" customFormat="1" spans="1:15">
      <c r="A11" s="39" t="s">
        <v>57</v>
      </c>
      <c r="C11" s="39">
        <v>256</v>
      </c>
      <c r="D11" s="39" t="s">
        <v>53</v>
      </c>
      <c r="E11" s="39">
        <v>27</v>
      </c>
      <c r="F11" s="39">
        <v>512</v>
      </c>
      <c r="G11" s="39" t="s">
        <v>40</v>
      </c>
      <c r="H11" s="39" t="s">
        <v>56</v>
      </c>
      <c r="I11" s="39">
        <f t="shared" si="5"/>
        <v>784</v>
      </c>
      <c r="J11" s="34">
        <f t="shared" ref="J11:J15" si="6">C11*E11*F11+F11</f>
        <v>3539456</v>
      </c>
      <c r="K11" s="22">
        <f t="shared" ref="K11:K15" si="7">I11*F11*(2*C11*E11+1)</f>
        <v>5549465600</v>
      </c>
      <c r="L11" s="22"/>
      <c r="M11" s="22"/>
      <c r="N11" s="22">
        <f t="shared" ref="N11:N15" si="8">I10*F10</f>
        <v>200704</v>
      </c>
      <c r="O11" s="22"/>
    </row>
    <row r="12" s="34" customFormat="1" spans="1:15">
      <c r="A12" s="39" t="s">
        <v>58</v>
      </c>
      <c r="C12" s="39">
        <v>512</v>
      </c>
      <c r="D12" s="39" t="s">
        <v>46</v>
      </c>
      <c r="E12" s="39">
        <v>27</v>
      </c>
      <c r="F12" s="39">
        <v>512</v>
      </c>
      <c r="G12" s="39" t="s">
        <v>40</v>
      </c>
      <c r="H12" s="39" t="s">
        <v>56</v>
      </c>
      <c r="I12" s="39">
        <f t="shared" si="5"/>
        <v>784</v>
      </c>
      <c r="J12" s="34">
        <f t="shared" si="6"/>
        <v>7078400</v>
      </c>
      <c r="K12" s="22">
        <f t="shared" si="7"/>
        <v>11098529792</v>
      </c>
      <c r="L12" s="22"/>
      <c r="M12" s="22"/>
      <c r="N12" s="22">
        <f t="shared" si="8"/>
        <v>401408</v>
      </c>
      <c r="O12" s="22"/>
    </row>
    <row r="13" s="37" customFormat="1" spans="1:18">
      <c r="A13" s="41" t="s">
        <v>59</v>
      </c>
      <c r="C13" s="41">
        <v>512</v>
      </c>
      <c r="D13" s="41" t="s">
        <v>49</v>
      </c>
      <c r="E13" s="41">
        <v>8</v>
      </c>
      <c r="F13" s="41">
        <v>512</v>
      </c>
      <c r="G13" s="41" t="s">
        <v>49</v>
      </c>
      <c r="H13" s="41" t="s">
        <v>60</v>
      </c>
      <c r="I13" s="41">
        <f t="shared" ref="I13:I16" si="9">2*7*7</f>
        <v>98</v>
      </c>
      <c r="J13" s="37">
        <v>0</v>
      </c>
      <c r="K13" s="22">
        <v>0</v>
      </c>
      <c r="L13" s="22">
        <f>I13*E13*F13</f>
        <v>401408</v>
      </c>
      <c r="M13" s="22"/>
      <c r="N13" s="22"/>
      <c r="O13" s="22"/>
      <c r="P13" s="34"/>
      <c r="Q13" s="34"/>
      <c r="R13" s="34"/>
    </row>
    <row r="14" s="34" customFormat="1" spans="1:15">
      <c r="A14" s="39" t="s">
        <v>61</v>
      </c>
      <c r="C14" s="39">
        <v>512</v>
      </c>
      <c r="D14" s="39" t="s">
        <v>46</v>
      </c>
      <c r="E14" s="39">
        <v>27</v>
      </c>
      <c r="F14" s="39">
        <v>512</v>
      </c>
      <c r="G14" s="39" t="s">
        <v>40</v>
      </c>
      <c r="H14" s="39" t="s">
        <v>60</v>
      </c>
      <c r="I14" s="39">
        <f t="shared" si="9"/>
        <v>98</v>
      </c>
      <c r="J14" s="34">
        <f t="shared" si="6"/>
        <v>7078400</v>
      </c>
      <c r="K14" s="22">
        <f t="shared" si="7"/>
        <v>1387316224</v>
      </c>
      <c r="L14" s="22"/>
      <c r="M14" s="22"/>
      <c r="N14" s="22">
        <f t="shared" si="8"/>
        <v>50176</v>
      </c>
      <c r="O14" s="22"/>
    </row>
    <row r="15" s="34" customFormat="1" spans="1:15">
      <c r="A15" s="39" t="s">
        <v>62</v>
      </c>
      <c r="C15" s="39">
        <v>512</v>
      </c>
      <c r="D15" s="39" t="s">
        <v>46</v>
      </c>
      <c r="E15" s="39">
        <v>27</v>
      </c>
      <c r="F15" s="39">
        <v>512</v>
      </c>
      <c r="G15" s="39" t="s">
        <v>40</v>
      </c>
      <c r="H15" s="39" t="s">
        <v>60</v>
      </c>
      <c r="I15" s="39">
        <f t="shared" si="9"/>
        <v>98</v>
      </c>
      <c r="J15" s="34">
        <f t="shared" si="6"/>
        <v>7078400</v>
      </c>
      <c r="K15" s="22">
        <f t="shared" si="7"/>
        <v>1387316224</v>
      </c>
      <c r="L15" s="22"/>
      <c r="M15" s="22"/>
      <c r="N15" s="22">
        <f t="shared" si="8"/>
        <v>50176</v>
      </c>
      <c r="O15" s="22"/>
    </row>
    <row r="16" s="37" customFormat="1" spans="1:18">
      <c r="A16" s="41" t="s">
        <v>63</v>
      </c>
      <c r="C16" s="41">
        <v>512</v>
      </c>
      <c r="D16" s="41" t="s">
        <v>49</v>
      </c>
      <c r="E16" s="41">
        <v>8</v>
      </c>
      <c r="F16" s="41">
        <v>512</v>
      </c>
      <c r="G16" s="41" t="s">
        <v>49</v>
      </c>
      <c r="H16" s="41" t="s">
        <v>64</v>
      </c>
      <c r="I16" s="41">
        <f t="shared" si="9"/>
        <v>98</v>
      </c>
      <c r="J16" s="37">
        <v>0</v>
      </c>
      <c r="K16" s="22">
        <v>0</v>
      </c>
      <c r="L16" s="22">
        <f>I16*E16*F16</f>
        <v>401408</v>
      </c>
      <c r="M16" s="22"/>
      <c r="N16" s="22"/>
      <c r="O16" s="22"/>
      <c r="P16" s="34"/>
      <c r="Q16" s="34"/>
      <c r="R16" s="34"/>
    </row>
    <row r="17" s="34" customFormat="1" spans="1:15">
      <c r="A17" s="39" t="s">
        <v>65</v>
      </c>
      <c r="B17" s="39"/>
      <c r="C17" s="39">
        <f>512*16</f>
        <v>8192</v>
      </c>
      <c r="D17" s="34">
        <v>1</v>
      </c>
      <c r="E17" s="34">
        <v>1</v>
      </c>
      <c r="F17" s="39">
        <v>4096</v>
      </c>
      <c r="G17" s="39">
        <v>1</v>
      </c>
      <c r="H17" s="39" t="s">
        <v>66</v>
      </c>
      <c r="I17" s="39">
        <f>1*1*1</f>
        <v>1</v>
      </c>
      <c r="J17" s="34">
        <f>C17*E17*F17+F17</f>
        <v>33558528</v>
      </c>
      <c r="K17" s="22">
        <v>0</v>
      </c>
      <c r="L17" s="22"/>
      <c r="M17" s="22">
        <f>F17*(2*C16-1)</f>
        <v>4190208</v>
      </c>
      <c r="N17" s="22"/>
      <c r="O17" s="22"/>
    </row>
    <row r="18" s="34" customFormat="1" spans="1:15">
      <c r="A18" s="39" t="s">
        <v>67</v>
      </c>
      <c r="B18" s="39"/>
      <c r="C18" s="39">
        <v>4096</v>
      </c>
      <c r="D18" s="34">
        <v>1</v>
      </c>
      <c r="E18" s="34">
        <v>1</v>
      </c>
      <c r="F18" s="39">
        <v>16</v>
      </c>
      <c r="G18" s="39">
        <v>1</v>
      </c>
      <c r="H18" s="39" t="s">
        <v>40</v>
      </c>
      <c r="I18" s="39">
        <f>1*1*1</f>
        <v>1</v>
      </c>
      <c r="J18" s="34">
        <f>C18*E18*F18+F18</f>
        <v>65552</v>
      </c>
      <c r="K18" s="22">
        <v>0</v>
      </c>
      <c r="L18" s="22"/>
      <c r="M18" s="22">
        <f>F18*(2*C17-1)</f>
        <v>262128</v>
      </c>
      <c r="N18" s="22"/>
      <c r="O18" s="22"/>
    </row>
    <row r="19" s="34" customFormat="1" spans="1:15">
      <c r="A19" s="39" t="s">
        <v>68</v>
      </c>
      <c r="B19" s="2"/>
      <c r="C19" s="13">
        <v>16</v>
      </c>
      <c r="D19" s="34">
        <v>1</v>
      </c>
      <c r="E19" s="34">
        <v>1</v>
      </c>
      <c r="F19" s="13">
        <v>16</v>
      </c>
      <c r="G19" s="13">
        <v>1</v>
      </c>
      <c r="H19" s="39" t="s">
        <v>40</v>
      </c>
      <c r="I19" s="13">
        <v>1</v>
      </c>
      <c r="J19" s="13">
        <v>0</v>
      </c>
      <c r="K19" s="22">
        <v>0</v>
      </c>
      <c r="L19" s="22">
        <f>I18*F18*(3*F19-1)</f>
        <v>752</v>
      </c>
      <c r="M19" s="22"/>
      <c r="N19" s="22"/>
      <c r="O19" s="22"/>
    </row>
    <row r="20" s="34" customFormat="1" spans="1:15">
      <c r="A20" s="2"/>
      <c r="B20" s="2"/>
      <c r="C20" s="13"/>
      <c r="F20" s="13"/>
      <c r="G20" s="13"/>
      <c r="H20" s="13"/>
      <c r="I20" s="13" t="s">
        <v>70</v>
      </c>
      <c r="J20" s="13">
        <f t="shared" ref="J20:N20" si="10">SUM(J4:J19)</f>
        <v>61278288</v>
      </c>
      <c r="K20" s="24">
        <f t="shared" si="10"/>
        <v>76323014656</v>
      </c>
      <c r="L20" s="24">
        <f t="shared" si="10"/>
        <v>21676784</v>
      </c>
      <c r="M20" s="24">
        <f t="shared" si="10"/>
        <v>4452336</v>
      </c>
      <c r="N20" s="24">
        <f t="shared" si="10"/>
        <v>6723584</v>
      </c>
      <c r="O20" s="22">
        <f>SUM(K20:N20)</f>
        <v>76355867360</v>
      </c>
    </row>
    <row r="21" s="34" customFormat="1" spans="1:15">
      <c r="A21" s="2"/>
      <c r="B21" s="2"/>
      <c r="C21" s="13"/>
      <c r="F21" s="13"/>
      <c r="G21" s="13"/>
      <c r="H21" s="13"/>
      <c r="I21" s="13"/>
      <c r="J21" s="13"/>
      <c r="K21" s="24"/>
      <c r="L21" s="24"/>
      <c r="M21" s="22"/>
      <c r="N21" s="22"/>
      <c r="O21" s="22"/>
    </row>
    <row r="22" s="34" customFormat="1" spans="1:15">
      <c r="A22" s="2"/>
      <c r="B22" s="2"/>
      <c r="C22" s="13"/>
      <c r="F22" s="13"/>
      <c r="G22" s="13"/>
      <c r="H22" s="13"/>
      <c r="I22" s="13"/>
      <c r="J22" s="13"/>
      <c r="K22" s="22"/>
      <c r="L22" s="24"/>
      <c r="M22" s="22"/>
      <c r="N22" s="22"/>
      <c r="O22" s="22"/>
    </row>
    <row r="23" s="34" customFormat="1" spans="1:15">
      <c r="A23" s="2"/>
      <c r="B23" s="2"/>
      <c r="C23" s="13"/>
      <c r="F23" s="13"/>
      <c r="G23" s="13"/>
      <c r="H23" s="13"/>
      <c r="I23" s="13"/>
      <c r="J23" s="13"/>
      <c r="K23" s="24"/>
      <c r="L23" s="24"/>
      <c r="M23" s="22"/>
      <c r="N23" s="22"/>
      <c r="O23" s="22"/>
    </row>
    <row r="24" s="34" customFormat="1" spans="1:15">
      <c r="A24" s="2"/>
      <c r="B24" s="2"/>
      <c r="C24" s="13"/>
      <c r="F24" s="13"/>
      <c r="G24" s="13"/>
      <c r="H24" s="13"/>
      <c r="I24" s="13"/>
      <c r="J24" s="13"/>
      <c r="K24" s="24"/>
      <c r="L24" s="24"/>
      <c r="M24" s="22"/>
      <c r="N24" s="22"/>
      <c r="O24" s="22"/>
    </row>
    <row r="25" s="34" customFormat="1" spans="1:15">
      <c r="A25" s="2"/>
      <c r="B25" s="2"/>
      <c r="C25" s="13"/>
      <c r="F25" s="13"/>
      <c r="G25" s="13"/>
      <c r="H25" s="13"/>
      <c r="I25" s="13"/>
      <c r="J25" s="13"/>
      <c r="K25" s="24"/>
      <c r="L25" s="24"/>
      <c r="M25" s="22"/>
      <c r="N25" s="22"/>
      <c r="O25" s="22"/>
    </row>
    <row r="26" s="34" customFormat="1" spans="1:15">
      <c r="A26" s="2"/>
      <c r="B26" s="2"/>
      <c r="C26" s="13"/>
      <c r="F26" s="13"/>
      <c r="G26" s="13"/>
      <c r="H26" s="13"/>
      <c r="I26" s="13"/>
      <c r="J26" s="13"/>
      <c r="K26" s="24"/>
      <c r="L26" s="24"/>
      <c r="M26" s="22"/>
      <c r="N26" s="22"/>
      <c r="O26" s="22"/>
    </row>
    <row r="27" s="34" customFormat="1" spans="1:15">
      <c r="A27" s="2"/>
      <c r="B27" s="2"/>
      <c r="C27" s="13"/>
      <c r="F27" s="13"/>
      <c r="G27" s="13"/>
      <c r="H27" s="13"/>
      <c r="I27" s="13"/>
      <c r="J27" s="13"/>
      <c r="K27" s="24"/>
      <c r="L27" s="24"/>
      <c r="M27" s="22"/>
      <c r="N27" s="22"/>
      <c r="O27" s="22"/>
    </row>
    <row r="28" s="34" customFormat="1" spans="1:15">
      <c r="A28" s="2"/>
      <c r="B28" s="2"/>
      <c r="C28" s="13"/>
      <c r="F28" s="13"/>
      <c r="G28" s="13"/>
      <c r="H28" s="13"/>
      <c r="I28" s="13"/>
      <c r="J28" s="13"/>
      <c r="K28" s="22"/>
      <c r="L28" s="24"/>
      <c r="M28" s="22"/>
      <c r="N28" s="22"/>
      <c r="O28" s="22"/>
    </row>
    <row r="29" s="34" customFormat="1" spans="1:15">
      <c r="A29" s="2"/>
      <c r="B29" s="2"/>
      <c r="C29" s="13"/>
      <c r="F29" s="13"/>
      <c r="G29" s="13"/>
      <c r="H29" s="13"/>
      <c r="I29" s="13"/>
      <c r="J29" s="13"/>
      <c r="K29" s="24"/>
      <c r="L29" s="24"/>
      <c r="M29" s="22"/>
      <c r="N29" s="22"/>
      <c r="O29" s="22"/>
    </row>
    <row r="30" s="34" customFormat="1" spans="1:15">
      <c r="A30" s="2"/>
      <c r="B30" s="2"/>
      <c r="C30" s="13"/>
      <c r="F30" s="13"/>
      <c r="G30" s="13"/>
      <c r="H30" s="13"/>
      <c r="I30" s="13"/>
      <c r="J30" s="13"/>
      <c r="K30" s="24"/>
      <c r="L30" s="24"/>
      <c r="M30" s="22"/>
      <c r="N30" s="22"/>
      <c r="O30" s="22"/>
    </row>
    <row r="31" s="34" customFormat="1" spans="1:15">
      <c r="A31" s="2"/>
      <c r="B31" s="2"/>
      <c r="C31" s="13"/>
      <c r="F31" s="13"/>
      <c r="G31" s="13"/>
      <c r="H31" s="13"/>
      <c r="I31" s="13"/>
      <c r="J31" s="13"/>
      <c r="K31" s="24"/>
      <c r="L31" s="24"/>
      <c r="M31" s="22"/>
      <c r="N31" s="22"/>
      <c r="O31" s="22"/>
    </row>
    <row r="32" s="34" customFormat="1" spans="1:15">
      <c r="A32" s="2"/>
      <c r="B32" s="2"/>
      <c r="C32" s="13"/>
      <c r="F32" s="13"/>
      <c r="G32" s="13"/>
      <c r="H32" s="13"/>
      <c r="I32" s="13"/>
      <c r="J32" s="13"/>
      <c r="K32" s="24"/>
      <c r="L32" s="24"/>
      <c r="M32" s="22"/>
      <c r="N32" s="22"/>
      <c r="O32" s="22"/>
    </row>
    <row r="33" s="34" customFormat="1" spans="1:15">
      <c r="A33" s="2"/>
      <c r="B33" s="2"/>
      <c r="C33" s="13"/>
      <c r="F33" s="13"/>
      <c r="G33" s="13"/>
      <c r="H33" s="13"/>
      <c r="I33" s="13"/>
      <c r="J33" s="13"/>
      <c r="K33" s="24"/>
      <c r="L33" s="24"/>
      <c r="M33" s="22"/>
      <c r="N33" s="22"/>
      <c r="O33" s="22"/>
    </row>
    <row r="34" s="34" customFormat="1" spans="1:15">
      <c r="A34" s="2"/>
      <c r="B34" s="2"/>
      <c r="C34" s="13"/>
      <c r="F34" s="13"/>
      <c r="G34" s="13"/>
      <c r="H34" s="13"/>
      <c r="I34" s="13"/>
      <c r="J34" s="13"/>
      <c r="K34" s="24"/>
      <c r="L34" s="24"/>
      <c r="M34" s="22"/>
      <c r="N34" s="22"/>
      <c r="O34" s="22"/>
    </row>
    <row r="35" s="34" customFormat="1" spans="1:15">
      <c r="A35" s="2"/>
      <c r="B35" s="2"/>
      <c r="C35" s="13"/>
      <c r="F35" s="13"/>
      <c r="G35" s="13"/>
      <c r="H35" s="13"/>
      <c r="I35" s="13"/>
      <c r="J35" s="13"/>
      <c r="K35" s="24"/>
      <c r="L35" s="24"/>
      <c r="M35" s="22"/>
      <c r="N35" s="22"/>
      <c r="O35" s="22"/>
    </row>
    <row r="36" s="34" customFormat="1" spans="1:15">
      <c r="A36" s="2"/>
      <c r="B36" s="2"/>
      <c r="C36" s="13"/>
      <c r="F36" s="13"/>
      <c r="G36" s="13"/>
      <c r="H36" s="13"/>
      <c r="I36" s="13"/>
      <c r="J36" s="13"/>
      <c r="K36" s="22"/>
      <c r="L36" s="24"/>
      <c r="M36" s="22"/>
      <c r="N36" s="22"/>
      <c r="O36" s="22"/>
    </row>
    <row r="37" s="34" customFormat="1" spans="1:15">
      <c r="A37" s="2"/>
      <c r="B37" s="2"/>
      <c r="C37" s="13"/>
      <c r="F37" s="13"/>
      <c r="G37" s="13"/>
      <c r="H37" s="13"/>
      <c r="I37" s="13"/>
      <c r="J37" s="13"/>
      <c r="K37" s="24"/>
      <c r="L37" s="24"/>
      <c r="M37" s="22"/>
      <c r="N37" s="22"/>
      <c r="O37" s="22"/>
    </row>
    <row r="38" s="34" customFormat="1" spans="1:15">
      <c r="A38" s="2"/>
      <c r="B38" s="2"/>
      <c r="C38" s="13"/>
      <c r="F38" s="13"/>
      <c r="G38" s="13"/>
      <c r="H38" s="13"/>
      <c r="I38" s="13"/>
      <c r="J38" s="13"/>
      <c r="K38" s="24"/>
      <c r="L38" s="24"/>
      <c r="M38" s="22"/>
      <c r="N38" s="22"/>
      <c r="O38" s="22"/>
    </row>
    <row r="39" s="34" customFormat="1" spans="1:15">
      <c r="A39" s="2"/>
      <c r="B39" s="2"/>
      <c r="C39" s="13"/>
      <c r="F39" s="13"/>
      <c r="G39" s="13"/>
      <c r="H39" s="13"/>
      <c r="I39" s="13"/>
      <c r="J39" s="13"/>
      <c r="K39" s="24"/>
      <c r="L39" s="24"/>
      <c r="M39" s="22"/>
      <c r="N39" s="22"/>
      <c r="O39" s="22"/>
    </row>
    <row r="40" s="34" customFormat="1" spans="1:15">
      <c r="A40" s="2"/>
      <c r="B40" s="2"/>
      <c r="C40" s="13"/>
      <c r="F40" s="13"/>
      <c r="G40" s="13"/>
      <c r="H40" s="13"/>
      <c r="I40" s="13"/>
      <c r="J40" s="13"/>
      <c r="K40" s="24"/>
      <c r="L40" s="24"/>
      <c r="M40" s="22"/>
      <c r="N40" s="22"/>
      <c r="O40" s="22"/>
    </row>
    <row r="41" s="34" customFormat="1" spans="1:15">
      <c r="A41" s="2"/>
      <c r="B41" s="2"/>
      <c r="C41" s="13"/>
      <c r="F41" s="13"/>
      <c r="G41" s="13"/>
      <c r="H41" s="13"/>
      <c r="I41" s="13"/>
      <c r="J41" s="13"/>
      <c r="K41" s="24"/>
      <c r="L41" s="24"/>
      <c r="M41" s="22"/>
      <c r="N41" s="22"/>
      <c r="O41" s="22"/>
    </row>
    <row r="42" s="34" customFormat="1" spans="1:15">
      <c r="A42" s="2"/>
      <c r="B42" s="2"/>
      <c r="C42" s="13"/>
      <c r="F42" s="13"/>
      <c r="G42" s="13"/>
      <c r="H42" s="13"/>
      <c r="I42" s="13"/>
      <c r="J42" s="13"/>
      <c r="K42" s="24"/>
      <c r="L42" s="24"/>
      <c r="M42" s="22"/>
      <c r="N42" s="22"/>
      <c r="O42" s="22"/>
    </row>
    <row r="43" s="34" customFormat="1" spans="1:15">
      <c r="A43" s="2"/>
      <c r="B43" s="2"/>
      <c r="C43" s="13"/>
      <c r="F43" s="13"/>
      <c r="G43" s="13"/>
      <c r="H43" s="13"/>
      <c r="I43" s="13"/>
      <c r="J43" s="13"/>
      <c r="K43" s="24"/>
      <c r="L43" s="24"/>
      <c r="M43" s="22"/>
      <c r="N43" s="22"/>
      <c r="O43" s="22"/>
    </row>
    <row r="44" s="34" customFormat="1" spans="1:15">
      <c r="A44" s="2"/>
      <c r="B44" s="2"/>
      <c r="C44" s="13"/>
      <c r="F44" s="13"/>
      <c r="G44" s="13"/>
      <c r="H44" s="13"/>
      <c r="I44" s="13"/>
      <c r="J44" s="13"/>
      <c r="K44" s="22"/>
      <c r="L44" s="24"/>
      <c r="M44" s="22"/>
      <c r="N44" s="22"/>
      <c r="O44" s="22"/>
    </row>
    <row r="45" s="34" customFormat="1" spans="1:15">
      <c r="A45" s="2"/>
      <c r="B45" s="2"/>
      <c r="C45" s="13"/>
      <c r="F45" s="13"/>
      <c r="G45" s="13"/>
      <c r="H45" s="13"/>
      <c r="I45" s="13"/>
      <c r="J45" s="13"/>
      <c r="K45" s="24"/>
      <c r="L45" s="24"/>
      <c r="M45" s="22"/>
      <c r="N45" s="22"/>
      <c r="O45" s="22"/>
    </row>
    <row r="46" s="34" customFormat="1" spans="1:15">
      <c r="A46" s="2"/>
      <c r="B46" s="2"/>
      <c r="C46" s="13"/>
      <c r="F46" s="13"/>
      <c r="G46" s="13"/>
      <c r="H46" s="13"/>
      <c r="I46" s="13"/>
      <c r="J46" s="13"/>
      <c r="K46" s="24"/>
      <c r="L46" s="24"/>
      <c r="M46" s="22"/>
      <c r="N46" s="22"/>
      <c r="O46" s="22"/>
    </row>
    <row r="47" s="34" customFormat="1" spans="1:15">
      <c r="A47" s="2"/>
      <c r="B47" s="2"/>
      <c r="C47" s="13"/>
      <c r="F47" s="13"/>
      <c r="G47" s="13"/>
      <c r="H47" s="13"/>
      <c r="I47" s="13"/>
      <c r="J47" s="13"/>
      <c r="K47" s="24"/>
      <c r="L47" s="24"/>
      <c r="M47" s="22"/>
      <c r="N47" s="22"/>
      <c r="O47" s="22"/>
    </row>
    <row r="48" s="34" customFormat="1" spans="1:15">
      <c r="A48" s="2"/>
      <c r="B48" s="2"/>
      <c r="C48" s="13"/>
      <c r="F48" s="13"/>
      <c r="G48" s="13"/>
      <c r="H48" s="13"/>
      <c r="I48" s="13"/>
      <c r="J48" s="13"/>
      <c r="K48" s="24"/>
      <c r="L48" s="24"/>
      <c r="M48" s="22"/>
      <c r="N48" s="22"/>
      <c r="O48" s="22"/>
    </row>
    <row r="49" s="34" customFormat="1" spans="1:15">
      <c r="A49" s="2"/>
      <c r="B49" s="2"/>
      <c r="C49" s="13"/>
      <c r="F49" s="13"/>
      <c r="G49" s="13"/>
      <c r="H49" s="13"/>
      <c r="I49" s="13"/>
      <c r="J49" s="13"/>
      <c r="K49" s="24"/>
      <c r="L49" s="24"/>
      <c r="M49" s="22"/>
      <c r="N49" s="22"/>
      <c r="O49" s="22"/>
    </row>
    <row r="50" s="34" customFormat="1" spans="1:15">
      <c r="A50" s="2"/>
      <c r="B50" s="2"/>
      <c r="C50" s="13"/>
      <c r="F50" s="13"/>
      <c r="G50" s="13"/>
      <c r="H50" s="13"/>
      <c r="I50" s="13"/>
      <c r="J50" s="13"/>
      <c r="K50" s="24"/>
      <c r="L50" s="24"/>
      <c r="M50" s="22"/>
      <c r="N50" s="22"/>
      <c r="O50" s="22"/>
    </row>
    <row r="51" s="34" customFormat="1" spans="1:15">
      <c r="A51" s="2"/>
      <c r="B51" s="2"/>
      <c r="C51" s="13"/>
      <c r="F51" s="13"/>
      <c r="G51" s="13"/>
      <c r="H51" s="13"/>
      <c r="I51" s="13"/>
      <c r="J51" s="13"/>
      <c r="K51" s="24"/>
      <c r="L51" s="24"/>
      <c r="M51" s="22"/>
      <c r="N51" s="22"/>
      <c r="O51" s="22"/>
    </row>
    <row r="52" s="34" customFormat="1" spans="1:15">
      <c r="A52" s="2"/>
      <c r="B52" s="2"/>
      <c r="C52" s="13"/>
      <c r="F52" s="13"/>
      <c r="G52" s="13"/>
      <c r="H52" s="13"/>
      <c r="I52" s="13"/>
      <c r="J52" s="13"/>
      <c r="K52" s="22"/>
      <c r="L52" s="24"/>
      <c r="M52" s="22"/>
      <c r="N52" s="22"/>
      <c r="O52" s="22"/>
    </row>
    <row r="53" s="34" customFormat="1" spans="1:15">
      <c r="A53" s="2"/>
      <c r="B53" s="2"/>
      <c r="C53" s="13"/>
      <c r="F53" s="13"/>
      <c r="G53" s="13"/>
      <c r="H53" s="13"/>
      <c r="I53" s="13"/>
      <c r="J53" s="13"/>
      <c r="K53" s="24"/>
      <c r="L53" s="24"/>
      <c r="M53" s="22"/>
      <c r="N53" s="22"/>
      <c r="O53" s="22"/>
    </row>
    <row r="54" s="34" customFormat="1" spans="1:15">
      <c r="A54" s="2"/>
      <c r="B54" s="2"/>
      <c r="C54" s="13"/>
      <c r="F54" s="13"/>
      <c r="G54" s="13"/>
      <c r="H54" s="13"/>
      <c r="I54" s="13"/>
      <c r="J54" s="13"/>
      <c r="K54" s="24"/>
      <c r="L54" s="24"/>
      <c r="M54" s="22"/>
      <c r="N54" s="22"/>
      <c r="O54" s="22"/>
    </row>
    <row r="55" s="34" customFormat="1" spans="1:15">
      <c r="A55" s="2"/>
      <c r="B55" s="2"/>
      <c r="C55" s="13"/>
      <c r="F55" s="13"/>
      <c r="G55" s="13"/>
      <c r="H55" s="13"/>
      <c r="I55" s="13"/>
      <c r="J55" s="13"/>
      <c r="K55" s="24"/>
      <c r="L55" s="24"/>
      <c r="M55" s="22"/>
      <c r="N55" s="22"/>
      <c r="O55" s="22"/>
    </row>
    <row r="56" s="34" customFormat="1" spans="1:15">
      <c r="A56" s="2"/>
      <c r="B56" s="2"/>
      <c r="C56" s="13"/>
      <c r="F56" s="13"/>
      <c r="G56" s="13"/>
      <c r="H56" s="13"/>
      <c r="I56" s="13"/>
      <c r="J56" s="13"/>
      <c r="K56" s="24"/>
      <c r="L56" s="24"/>
      <c r="M56" s="22"/>
      <c r="N56" s="22"/>
      <c r="O56" s="22"/>
    </row>
    <row r="57" s="34" customFormat="1" spans="1:15">
      <c r="A57" s="2"/>
      <c r="B57" s="2"/>
      <c r="C57" s="13"/>
      <c r="F57" s="13"/>
      <c r="G57" s="13"/>
      <c r="H57" s="13"/>
      <c r="I57" s="13"/>
      <c r="J57" s="13"/>
      <c r="K57" s="24"/>
      <c r="L57" s="24"/>
      <c r="M57" s="22"/>
      <c r="N57" s="22"/>
      <c r="O57" s="22"/>
    </row>
    <row r="58" s="34" customFormat="1" spans="1:15">
      <c r="A58" s="2"/>
      <c r="B58" s="2"/>
      <c r="C58" s="13"/>
      <c r="F58" s="13"/>
      <c r="G58" s="13"/>
      <c r="H58" s="13"/>
      <c r="I58" s="13"/>
      <c r="J58" s="13"/>
      <c r="K58" s="24"/>
      <c r="L58" s="24"/>
      <c r="M58" s="22"/>
      <c r="N58" s="22"/>
      <c r="O58" s="22"/>
    </row>
    <row r="59" s="34" customFormat="1" spans="1:15">
      <c r="A59" s="2"/>
      <c r="B59" s="2"/>
      <c r="C59" s="13"/>
      <c r="F59" s="13"/>
      <c r="G59" s="13"/>
      <c r="H59" s="13"/>
      <c r="I59" s="13"/>
      <c r="J59" s="13"/>
      <c r="K59" s="24"/>
      <c r="L59" s="24"/>
      <c r="M59" s="22"/>
      <c r="N59" s="22"/>
      <c r="O59" s="22"/>
    </row>
    <row r="60" s="34" customFormat="1" spans="1:15">
      <c r="A60" s="2"/>
      <c r="B60" s="2"/>
      <c r="C60" s="13"/>
      <c r="F60" s="13"/>
      <c r="G60" s="13"/>
      <c r="H60" s="13"/>
      <c r="I60" s="13"/>
      <c r="J60" s="13"/>
      <c r="K60" s="22"/>
      <c r="L60" s="24"/>
      <c r="M60" s="22"/>
      <c r="N60" s="22"/>
      <c r="O60" s="22"/>
    </row>
    <row r="61" s="34" customFormat="1" spans="1:15">
      <c r="A61" s="2"/>
      <c r="B61" s="2"/>
      <c r="C61" s="13"/>
      <c r="F61" s="13"/>
      <c r="G61" s="13"/>
      <c r="H61" s="13"/>
      <c r="I61" s="13"/>
      <c r="J61" s="13"/>
      <c r="K61" s="24"/>
      <c r="L61" s="24"/>
      <c r="M61" s="22"/>
      <c r="N61" s="22"/>
      <c r="O61" s="22"/>
    </row>
    <row r="62" s="34" customFormat="1" spans="1:15">
      <c r="A62" s="2"/>
      <c r="B62" s="2"/>
      <c r="C62" s="13"/>
      <c r="F62" s="13"/>
      <c r="G62" s="13"/>
      <c r="H62" s="13"/>
      <c r="I62" s="13"/>
      <c r="J62" s="13"/>
      <c r="K62" s="24"/>
      <c r="L62" s="24"/>
      <c r="M62" s="22"/>
      <c r="N62" s="22"/>
      <c r="O62" s="22"/>
    </row>
    <row r="63" s="34" customFormat="1" spans="1:15">
      <c r="A63" s="2"/>
      <c r="B63" s="2"/>
      <c r="C63" s="13"/>
      <c r="F63" s="13"/>
      <c r="G63" s="13"/>
      <c r="H63" s="13"/>
      <c r="I63" s="13"/>
      <c r="J63" s="13"/>
      <c r="K63" s="22"/>
      <c r="L63" s="24"/>
      <c r="M63" s="22"/>
      <c r="N63" s="22"/>
      <c r="O63" s="22"/>
    </row>
    <row r="64" s="34" customFormat="1" spans="1:15">
      <c r="A64" s="2"/>
      <c r="B64" s="2"/>
      <c r="C64" s="13"/>
      <c r="F64" s="13"/>
      <c r="G64" s="13"/>
      <c r="H64" s="13"/>
      <c r="I64" s="13"/>
      <c r="J64" s="13"/>
      <c r="K64" s="24"/>
      <c r="L64" s="24"/>
      <c r="M64" s="22"/>
      <c r="N64" s="22"/>
      <c r="O64" s="22"/>
    </row>
    <row r="65" s="34" customFormat="1" spans="1:15">
      <c r="A65" s="2"/>
      <c r="B65" s="2"/>
      <c r="C65" s="13"/>
      <c r="F65" s="13"/>
      <c r="G65" s="13"/>
      <c r="H65" s="13"/>
      <c r="I65" s="13"/>
      <c r="J65" s="13"/>
      <c r="K65" s="24"/>
      <c r="L65" s="24"/>
      <c r="M65" s="22"/>
      <c r="N65" s="22"/>
      <c r="O65" s="22"/>
    </row>
    <row r="66" s="34" customFormat="1" spans="1:15">
      <c r="A66" s="2"/>
      <c r="B66" s="2"/>
      <c r="C66" s="13"/>
      <c r="F66" s="13"/>
      <c r="G66" s="13"/>
      <c r="H66" s="13"/>
      <c r="I66" s="13"/>
      <c r="J66" s="13"/>
      <c r="K66" s="24"/>
      <c r="L66" s="24"/>
      <c r="M66" s="22"/>
      <c r="N66" s="22"/>
      <c r="O66" s="22"/>
    </row>
    <row r="67" s="34" customFormat="1" spans="1:15">
      <c r="A67" s="2"/>
      <c r="B67" s="2"/>
      <c r="C67" s="13"/>
      <c r="F67" s="13"/>
      <c r="G67" s="13"/>
      <c r="H67" s="13"/>
      <c r="I67" s="13"/>
      <c r="J67" s="13"/>
      <c r="K67" s="24"/>
      <c r="L67" s="24"/>
      <c r="M67" s="22"/>
      <c r="N67" s="22"/>
      <c r="O67" s="22"/>
    </row>
    <row r="68" s="34" customFormat="1" spans="1:15">
      <c r="A68" s="2"/>
      <c r="B68" s="2"/>
      <c r="C68" s="13"/>
      <c r="F68" s="13"/>
      <c r="G68" s="13"/>
      <c r="H68" s="13"/>
      <c r="I68" s="13"/>
      <c r="J68" s="13"/>
      <c r="K68" s="24"/>
      <c r="L68" s="24"/>
      <c r="M68" s="22"/>
      <c r="N68" s="22"/>
      <c r="O68" s="22"/>
    </row>
    <row r="69" s="34" customFormat="1" spans="1:15">
      <c r="A69" s="2"/>
      <c r="B69" s="2"/>
      <c r="C69" s="13"/>
      <c r="F69" s="13"/>
      <c r="G69" s="13"/>
      <c r="H69" s="13"/>
      <c r="I69" s="13"/>
      <c r="J69" s="13"/>
      <c r="K69" s="22"/>
      <c r="L69" s="24"/>
      <c r="M69" s="22"/>
      <c r="N69" s="22"/>
      <c r="O69" s="22"/>
    </row>
    <row r="70" s="34" customFormat="1" spans="1:15">
      <c r="A70" s="2"/>
      <c r="B70" s="2"/>
      <c r="C70" s="13"/>
      <c r="F70" s="13"/>
      <c r="G70" s="13"/>
      <c r="H70" s="13"/>
      <c r="I70" s="13"/>
      <c r="J70" s="13"/>
      <c r="K70" s="24"/>
      <c r="L70" s="24"/>
      <c r="M70" s="22"/>
      <c r="N70" s="22"/>
      <c r="O70" s="22"/>
    </row>
    <row r="71" s="34" customFormat="1" spans="1:15">
      <c r="A71" s="2"/>
      <c r="B71" s="2"/>
      <c r="C71" s="13"/>
      <c r="F71" s="13"/>
      <c r="G71" s="13"/>
      <c r="H71" s="13"/>
      <c r="I71" s="13"/>
      <c r="J71" s="13"/>
      <c r="K71" s="24"/>
      <c r="L71" s="24"/>
      <c r="M71" s="22"/>
      <c r="N71" s="22"/>
      <c r="O71" s="22"/>
    </row>
    <row r="72" s="34" customFormat="1" spans="1:15">
      <c r="A72" s="2"/>
      <c r="B72" s="2"/>
      <c r="C72" s="13"/>
      <c r="F72" s="13"/>
      <c r="G72" s="13"/>
      <c r="H72" s="13"/>
      <c r="I72" s="13"/>
      <c r="J72" s="13"/>
      <c r="K72" s="24"/>
      <c r="L72" s="24"/>
      <c r="M72" s="22"/>
      <c r="N72" s="22"/>
      <c r="O72" s="22"/>
    </row>
    <row r="73" s="34" customFormat="1" spans="1:15">
      <c r="A73" s="2"/>
      <c r="B73" s="2"/>
      <c r="C73" s="13"/>
      <c r="F73" s="13"/>
      <c r="G73" s="13"/>
      <c r="H73" s="13"/>
      <c r="I73" s="13"/>
      <c r="J73" s="13"/>
      <c r="K73" s="24"/>
      <c r="L73" s="24"/>
      <c r="M73" s="22"/>
      <c r="N73" s="22"/>
      <c r="O73" s="22"/>
    </row>
    <row r="74" s="34" customFormat="1" spans="1:15">
      <c r="A74" s="2"/>
      <c r="B74" s="2"/>
      <c r="C74" s="13"/>
      <c r="F74" s="13"/>
      <c r="G74" s="13"/>
      <c r="H74" s="13"/>
      <c r="I74" s="13"/>
      <c r="J74" s="13"/>
      <c r="K74" s="24"/>
      <c r="L74" s="24"/>
      <c r="M74" s="22"/>
      <c r="N74" s="22"/>
      <c r="O74" s="22"/>
    </row>
    <row r="75" s="34" customFormat="1" spans="1:15">
      <c r="A75" s="2"/>
      <c r="B75" s="2"/>
      <c r="C75" s="13"/>
      <c r="F75" s="13"/>
      <c r="G75" s="13"/>
      <c r="H75" s="13"/>
      <c r="I75" s="13"/>
      <c r="J75" s="13"/>
      <c r="K75" s="24"/>
      <c r="L75" s="24"/>
      <c r="M75" s="22"/>
      <c r="N75" s="22"/>
      <c r="O75" s="22"/>
    </row>
    <row r="76" s="34" customFormat="1" spans="1:15">
      <c r="A76" s="2"/>
      <c r="B76" s="2"/>
      <c r="C76" s="13"/>
      <c r="F76" s="13"/>
      <c r="G76" s="13"/>
      <c r="H76" s="13"/>
      <c r="I76" s="13"/>
      <c r="J76" s="13"/>
      <c r="K76" s="24"/>
      <c r="L76" s="24"/>
      <c r="M76" s="22"/>
      <c r="N76" s="22"/>
      <c r="O76" s="22"/>
    </row>
    <row r="77" s="34" customFormat="1" spans="1:15">
      <c r="A77" s="2"/>
      <c r="B77" s="2"/>
      <c r="C77" s="13"/>
      <c r="F77" s="13"/>
      <c r="G77" s="13"/>
      <c r="H77" s="13"/>
      <c r="I77" s="13"/>
      <c r="J77" s="13"/>
      <c r="K77" s="22"/>
      <c r="L77" s="24"/>
      <c r="M77" s="22"/>
      <c r="N77" s="22"/>
      <c r="O77" s="22"/>
    </row>
    <row r="78" s="34" customFormat="1" spans="1:15">
      <c r="A78" s="2"/>
      <c r="B78" s="2"/>
      <c r="C78" s="13"/>
      <c r="F78" s="13"/>
      <c r="G78" s="13"/>
      <c r="H78" s="13"/>
      <c r="I78" s="13"/>
      <c r="J78" s="13"/>
      <c r="K78" s="24"/>
      <c r="L78" s="24"/>
      <c r="M78" s="22"/>
      <c r="N78" s="22"/>
      <c r="O78" s="22"/>
    </row>
    <row r="79" s="34" customFormat="1" spans="1:15">
      <c r="A79" s="2"/>
      <c r="B79" s="2"/>
      <c r="C79" s="13"/>
      <c r="F79" s="13"/>
      <c r="G79" s="13"/>
      <c r="H79" s="13"/>
      <c r="I79" s="13"/>
      <c r="J79" s="13"/>
      <c r="K79" s="24"/>
      <c r="L79" s="24"/>
      <c r="M79" s="22"/>
      <c r="N79" s="22"/>
      <c r="O79" s="22"/>
    </row>
    <row r="80" s="34" customFormat="1" spans="1:15">
      <c r="A80" s="2"/>
      <c r="B80" s="2"/>
      <c r="C80" s="13"/>
      <c r="F80" s="13"/>
      <c r="G80" s="13"/>
      <c r="H80" s="13"/>
      <c r="I80" s="13"/>
      <c r="J80" s="13"/>
      <c r="K80" s="22"/>
      <c r="L80" s="24"/>
      <c r="M80" s="22"/>
      <c r="N80" s="22"/>
      <c r="O80" s="22"/>
    </row>
    <row r="81" s="34" customFormat="1" spans="1:15">
      <c r="A81" s="2"/>
      <c r="B81" s="2"/>
      <c r="C81" s="13"/>
      <c r="F81" s="13"/>
      <c r="G81" s="13"/>
      <c r="H81" s="13"/>
      <c r="I81" s="13"/>
      <c r="J81" s="13"/>
      <c r="K81" s="24"/>
      <c r="L81" s="24"/>
      <c r="M81" s="22"/>
      <c r="N81" s="22"/>
      <c r="O81" s="22"/>
    </row>
    <row r="82" s="34" customFormat="1" spans="1:15">
      <c r="A82" s="2"/>
      <c r="B82" s="2"/>
      <c r="C82" s="13"/>
      <c r="F82" s="13"/>
      <c r="G82" s="13"/>
      <c r="H82" s="13"/>
      <c r="I82" s="13"/>
      <c r="J82" s="13"/>
      <c r="K82" s="22"/>
      <c r="L82" s="24"/>
      <c r="M82" s="22"/>
      <c r="N82" s="22"/>
      <c r="O82" s="22"/>
    </row>
    <row r="83" s="34" customFormat="1" spans="1:15">
      <c r="A83" s="2"/>
      <c r="B83" s="2"/>
      <c r="C83" s="29"/>
      <c r="F83" s="13"/>
      <c r="G83" s="13"/>
      <c r="H83" s="13"/>
      <c r="I83" s="13"/>
      <c r="J83" s="13"/>
      <c r="K83" s="31"/>
      <c r="L83" s="31"/>
      <c r="M83" s="31"/>
      <c r="N83" s="31"/>
      <c r="O83" s="31"/>
    </row>
    <row r="84" s="34" customFormat="1" spans="1:15">
      <c r="A84" s="2"/>
      <c r="B84" s="2"/>
      <c r="C84" s="13"/>
      <c r="F84" s="13"/>
      <c r="G84" s="13"/>
      <c r="H84" s="13"/>
      <c r="I84" s="13"/>
      <c r="J84" s="13"/>
      <c r="K84" s="31"/>
      <c r="L84" s="31"/>
      <c r="M84" s="31"/>
      <c r="N84" s="31"/>
      <c r="O84" s="31"/>
    </row>
    <row r="85" spans="11:15">
      <c r="K85" s="31"/>
      <c r="L85" s="31"/>
      <c r="M85" s="31"/>
      <c r="N85" s="31"/>
      <c r="O85" s="31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8"/>
  <sheetViews>
    <sheetView zoomScale="90" zoomScaleNormal="90" workbookViewId="0">
      <pane xSplit="2" ySplit="2" topLeftCell="F75" activePane="bottomRight" state="frozen"/>
      <selection/>
      <selection pane="topRight"/>
      <selection pane="bottomLeft"/>
      <selection pane="bottomRight" activeCell="I89" sqref="I89"/>
    </sheetView>
  </sheetViews>
  <sheetFormatPr defaultColWidth="9" defaultRowHeight="14.4"/>
  <cols>
    <col min="1" max="1" width="13.75" style="12" customWidth="1"/>
    <col min="2" max="2" width="11.5" style="12" customWidth="1"/>
    <col min="3" max="3" width="16" style="13" customWidth="1"/>
    <col min="4" max="4" width="7" style="34" customWidth="1"/>
    <col min="5" max="5" width="13.75" style="34" customWidth="1"/>
    <col min="6" max="6" width="17.1296296296296" style="13" customWidth="1"/>
    <col min="7" max="7" width="8.37962962962963" style="13" customWidth="1"/>
    <col min="8" max="8" width="11.5" style="13" customWidth="1"/>
    <col min="9" max="10" width="18.25" style="13" customWidth="1"/>
    <col min="11" max="11" width="11.5" style="22" customWidth="1"/>
    <col min="12" max="12" width="14.8796296296296" style="22" customWidth="1"/>
    <col min="13" max="13" width="12.5" style="8" customWidth="1"/>
    <col min="14" max="14" width="11.5" style="8" customWidth="1"/>
    <col min="15" max="15" width="27.3518518518519" style="8" customWidth="1"/>
    <col min="16" max="16384" width="9" style="12"/>
  </cols>
  <sheetData>
    <row r="1" ht="15" spans="1:15">
      <c r="A1" s="12" t="s">
        <v>9</v>
      </c>
      <c r="B1" s="12" t="s">
        <v>10</v>
      </c>
      <c r="C1" s="3" t="s">
        <v>11</v>
      </c>
      <c r="D1" s="34" t="s">
        <v>12</v>
      </c>
      <c r="E1" s="34" t="s">
        <v>13</v>
      </c>
      <c r="F1" s="3" t="s">
        <v>14</v>
      </c>
      <c r="G1" s="13" t="s">
        <v>15</v>
      </c>
      <c r="H1" s="3" t="s">
        <v>16</v>
      </c>
      <c r="I1" s="3" t="s">
        <v>17</v>
      </c>
      <c r="J1" s="3" t="s">
        <v>1</v>
      </c>
      <c r="K1" s="21" t="s">
        <v>18</v>
      </c>
      <c r="L1" s="21" t="s">
        <v>19</v>
      </c>
      <c r="M1" s="4" t="s">
        <v>71</v>
      </c>
      <c r="N1" s="8" t="s">
        <v>21</v>
      </c>
      <c r="O1" s="4" t="s">
        <v>22</v>
      </c>
    </row>
    <row r="2" spans="1:15">
      <c r="A2" s="12" t="s">
        <v>23</v>
      </c>
      <c r="B2" s="12" t="s">
        <v>24</v>
      </c>
      <c r="C2" s="13" t="s">
        <v>25</v>
      </c>
      <c r="D2" s="34" t="s">
        <v>26</v>
      </c>
      <c r="E2" s="34" t="s">
        <v>27</v>
      </c>
      <c r="F2" s="13" t="s">
        <v>28</v>
      </c>
      <c r="G2" s="13" t="s">
        <v>29</v>
      </c>
      <c r="H2" s="13" t="s">
        <v>30</v>
      </c>
      <c r="I2" s="13" t="s">
        <v>31</v>
      </c>
      <c r="J2" s="13" t="s">
        <v>32</v>
      </c>
      <c r="K2" s="22" t="s">
        <v>33</v>
      </c>
      <c r="L2" s="22" t="s">
        <v>34</v>
      </c>
      <c r="M2" s="8" t="s">
        <v>72</v>
      </c>
      <c r="N2" s="8" t="s">
        <v>21</v>
      </c>
      <c r="O2" s="8" t="s">
        <v>35</v>
      </c>
    </row>
    <row r="3" spans="1:9">
      <c r="A3" s="12" t="s">
        <v>36</v>
      </c>
      <c r="F3" s="14">
        <v>3</v>
      </c>
      <c r="H3" s="13" t="s">
        <v>73</v>
      </c>
      <c r="I3" s="13">
        <f>64*224*224</f>
        <v>3211264</v>
      </c>
    </row>
    <row r="4" spans="1:14">
      <c r="A4" s="12" t="s">
        <v>74</v>
      </c>
      <c r="C4" s="14">
        <v>3</v>
      </c>
      <c r="D4" s="34" t="s">
        <v>75</v>
      </c>
      <c r="E4" s="34">
        <f>7*7*7</f>
        <v>343</v>
      </c>
      <c r="F4" s="13">
        <v>64</v>
      </c>
      <c r="G4" s="13" t="s">
        <v>49</v>
      </c>
      <c r="H4" s="13" t="s">
        <v>76</v>
      </c>
      <c r="I4" s="13">
        <f>32*112*112</f>
        <v>401408</v>
      </c>
      <c r="J4" s="13">
        <f>C4*E4*F4+F4</f>
        <v>65920</v>
      </c>
      <c r="K4" s="24">
        <f>I4*F4*(2*C4*E4+1)</f>
        <v>52895940608</v>
      </c>
      <c r="L4" s="24"/>
      <c r="M4" s="8">
        <f t="shared" ref="M4:M7" si="0">4*I3*F3</f>
        <v>38535168</v>
      </c>
      <c r="N4" s="8">
        <f>4*I4</f>
        <v>1605632</v>
      </c>
    </row>
    <row r="5" spans="1:14">
      <c r="A5" s="12" t="s">
        <v>77</v>
      </c>
      <c r="C5" s="13">
        <v>1</v>
      </c>
      <c r="D5" s="34" t="s">
        <v>78</v>
      </c>
      <c r="E5" s="34">
        <v>9</v>
      </c>
      <c r="F5" s="13">
        <v>64</v>
      </c>
      <c r="G5" s="13" t="s">
        <v>43</v>
      </c>
      <c r="H5" s="13" t="s">
        <v>79</v>
      </c>
      <c r="I5" s="13">
        <f t="shared" ref="I5:I7" si="1">32*56*56</f>
        <v>100352</v>
      </c>
      <c r="J5" s="13">
        <v>0</v>
      </c>
      <c r="K5" s="22">
        <v>0</v>
      </c>
      <c r="L5" s="24">
        <f>I5*E5*F5</f>
        <v>57802752</v>
      </c>
      <c r="M5" s="8">
        <v>0</v>
      </c>
      <c r="N5" s="8">
        <v>0</v>
      </c>
    </row>
    <row r="6" spans="1:14">
      <c r="A6" s="12" t="s">
        <v>80</v>
      </c>
      <c r="C6" s="13">
        <v>64</v>
      </c>
      <c r="D6" s="34" t="s">
        <v>40</v>
      </c>
      <c r="E6" s="34">
        <v>1</v>
      </c>
      <c r="F6" s="13">
        <v>64</v>
      </c>
      <c r="G6" s="13" t="s">
        <v>40</v>
      </c>
      <c r="H6" s="13" t="s">
        <v>79</v>
      </c>
      <c r="I6" s="13">
        <f t="shared" si="1"/>
        <v>100352</v>
      </c>
      <c r="J6" s="13">
        <f t="shared" ref="J4:J7" si="2">C6*E6*F6+F6</f>
        <v>4160</v>
      </c>
      <c r="K6" s="24">
        <f t="shared" ref="K4:K7" si="3">I6*F6*(2*C6*E6+1)</f>
        <v>828506112</v>
      </c>
      <c r="L6" s="24"/>
      <c r="M6" s="8">
        <f t="shared" si="0"/>
        <v>25690112</v>
      </c>
      <c r="N6" s="8">
        <f>4*I6</f>
        <v>401408</v>
      </c>
    </row>
    <row r="7" spans="1:14">
      <c r="A7" s="12" t="s">
        <v>81</v>
      </c>
      <c r="C7" s="13">
        <v>64</v>
      </c>
      <c r="D7" s="34" t="s">
        <v>46</v>
      </c>
      <c r="E7" s="34">
        <v>27</v>
      </c>
      <c r="F7" s="13">
        <v>192</v>
      </c>
      <c r="G7" s="13" t="s">
        <v>40</v>
      </c>
      <c r="H7" s="13" t="s">
        <v>79</v>
      </c>
      <c r="I7" s="13">
        <f t="shared" si="1"/>
        <v>100352</v>
      </c>
      <c r="J7" s="13">
        <f t="shared" si="2"/>
        <v>331968</v>
      </c>
      <c r="K7" s="24">
        <f t="shared" si="3"/>
        <v>66608037888</v>
      </c>
      <c r="L7" s="24"/>
      <c r="M7" s="8">
        <f t="shared" si="0"/>
        <v>25690112</v>
      </c>
      <c r="N7" s="8">
        <f>4*I7</f>
        <v>401408</v>
      </c>
    </row>
    <row r="8" spans="1:14">
      <c r="A8" s="12" t="s">
        <v>82</v>
      </c>
      <c r="C8" s="13">
        <v>1</v>
      </c>
      <c r="D8" s="34" t="s">
        <v>78</v>
      </c>
      <c r="E8" s="34">
        <v>9</v>
      </c>
      <c r="F8" s="13">
        <v>192</v>
      </c>
      <c r="G8" s="13" t="s">
        <v>43</v>
      </c>
      <c r="H8" s="13" t="s">
        <v>83</v>
      </c>
      <c r="I8" s="13">
        <f t="shared" ref="I8:I24" si="4">32*28*28</f>
        <v>25088</v>
      </c>
      <c r="J8" s="13">
        <v>0</v>
      </c>
      <c r="K8" s="22">
        <v>0</v>
      </c>
      <c r="L8" s="24">
        <f>I8*E8*F8</f>
        <v>43352064</v>
      </c>
      <c r="M8" s="8">
        <v>0</v>
      </c>
      <c r="N8" s="8">
        <v>0</v>
      </c>
    </row>
    <row r="9" spans="1:14">
      <c r="A9" s="12" t="s">
        <v>84</v>
      </c>
      <c r="B9" s="8" t="s">
        <v>85</v>
      </c>
      <c r="C9" s="13">
        <v>192</v>
      </c>
      <c r="D9" s="34" t="s">
        <v>40</v>
      </c>
      <c r="E9" s="34">
        <v>1</v>
      </c>
      <c r="F9" s="13">
        <v>64</v>
      </c>
      <c r="G9" s="13" t="s">
        <v>40</v>
      </c>
      <c r="H9" s="13" t="s">
        <v>83</v>
      </c>
      <c r="I9" s="13">
        <f t="shared" si="4"/>
        <v>25088</v>
      </c>
      <c r="J9" s="13">
        <f t="shared" ref="J9:J13" si="5">C9*E9*F9+F9</f>
        <v>12352</v>
      </c>
      <c r="K9" s="24">
        <f t="shared" ref="K9:K13" si="6">I9*F9*(2*C9*E9+1)</f>
        <v>618168320</v>
      </c>
      <c r="L9" s="24"/>
      <c r="M9" s="8">
        <f t="shared" ref="M9:M13" si="7">4*I8*F8</f>
        <v>19267584</v>
      </c>
      <c r="N9" s="8">
        <f>4*I9</f>
        <v>100352</v>
      </c>
    </row>
    <row r="10" spans="2:14">
      <c r="B10" s="8" t="s">
        <v>86</v>
      </c>
      <c r="C10" s="13">
        <v>192</v>
      </c>
      <c r="D10" s="34" t="s">
        <v>40</v>
      </c>
      <c r="E10" s="34">
        <v>1</v>
      </c>
      <c r="F10" s="13">
        <v>96</v>
      </c>
      <c r="G10" s="13" t="s">
        <v>40</v>
      </c>
      <c r="H10" s="13" t="s">
        <v>83</v>
      </c>
      <c r="I10" s="13">
        <f t="shared" si="4"/>
        <v>25088</v>
      </c>
      <c r="J10" s="13">
        <f t="shared" si="5"/>
        <v>18528</v>
      </c>
      <c r="K10" s="24">
        <f t="shared" si="6"/>
        <v>927252480</v>
      </c>
      <c r="L10" s="24"/>
      <c r="M10" s="8">
        <f t="shared" si="7"/>
        <v>6422528</v>
      </c>
      <c r="N10" s="8">
        <f>4*I10</f>
        <v>100352</v>
      </c>
    </row>
    <row r="11" spans="2:14">
      <c r="B11" s="8"/>
      <c r="C11" s="13">
        <v>96</v>
      </c>
      <c r="D11" s="34" t="s">
        <v>46</v>
      </c>
      <c r="E11" s="34">
        <v>27</v>
      </c>
      <c r="F11" s="13">
        <v>128</v>
      </c>
      <c r="G11" s="13" t="s">
        <v>40</v>
      </c>
      <c r="H11" s="13" t="s">
        <v>83</v>
      </c>
      <c r="I11" s="13">
        <f t="shared" si="4"/>
        <v>25088</v>
      </c>
      <c r="J11" s="13">
        <f t="shared" si="5"/>
        <v>331904</v>
      </c>
      <c r="K11" s="24">
        <f t="shared" si="6"/>
        <v>16650403840</v>
      </c>
      <c r="L11" s="24"/>
      <c r="M11" s="8">
        <f t="shared" si="7"/>
        <v>9633792</v>
      </c>
      <c r="N11" s="8">
        <f>4*I11</f>
        <v>100352</v>
      </c>
    </row>
    <row r="12" spans="2:14">
      <c r="B12" s="8" t="s">
        <v>87</v>
      </c>
      <c r="C12" s="13">
        <v>192</v>
      </c>
      <c r="D12" s="34" t="s">
        <v>40</v>
      </c>
      <c r="E12" s="34">
        <v>1</v>
      </c>
      <c r="F12" s="13">
        <v>16</v>
      </c>
      <c r="G12" s="13" t="s">
        <v>40</v>
      </c>
      <c r="H12" s="13" t="s">
        <v>83</v>
      </c>
      <c r="I12" s="13">
        <f t="shared" si="4"/>
        <v>25088</v>
      </c>
      <c r="J12" s="13">
        <f t="shared" si="5"/>
        <v>3088</v>
      </c>
      <c r="K12" s="24">
        <f t="shared" si="6"/>
        <v>154542080</v>
      </c>
      <c r="L12" s="24"/>
      <c r="M12" s="8">
        <f t="shared" si="7"/>
        <v>12845056</v>
      </c>
      <c r="N12" s="8">
        <f t="shared" ref="N12:N21" si="8">I11*F11</f>
        <v>3211264</v>
      </c>
    </row>
    <row r="13" spans="2:14">
      <c r="B13" s="8"/>
      <c r="C13" s="13">
        <v>16</v>
      </c>
      <c r="D13" s="34" t="s">
        <v>46</v>
      </c>
      <c r="E13" s="34">
        <v>27</v>
      </c>
      <c r="F13" s="13">
        <v>32</v>
      </c>
      <c r="G13" s="13" t="s">
        <v>40</v>
      </c>
      <c r="H13" s="13" t="s">
        <v>83</v>
      </c>
      <c r="I13" s="13">
        <f t="shared" si="4"/>
        <v>25088</v>
      </c>
      <c r="J13" s="13">
        <f t="shared" si="5"/>
        <v>13856</v>
      </c>
      <c r="K13" s="24">
        <f t="shared" si="6"/>
        <v>694435840</v>
      </c>
      <c r="L13" s="24"/>
      <c r="M13" s="8">
        <f t="shared" si="7"/>
        <v>1605632</v>
      </c>
      <c r="N13" s="8">
        <f t="shared" si="8"/>
        <v>401408</v>
      </c>
    </row>
    <row r="14" spans="2:14">
      <c r="B14" s="8" t="s">
        <v>88</v>
      </c>
      <c r="C14" s="13">
        <v>1</v>
      </c>
      <c r="D14" s="34" t="s">
        <v>46</v>
      </c>
      <c r="E14" s="34">
        <v>27</v>
      </c>
      <c r="F14" s="13">
        <v>192</v>
      </c>
      <c r="G14" s="13" t="s">
        <v>40</v>
      </c>
      <c r="H14" s="13" t="s">
        <v>83</v>
      </c>
      <c r="I14" s="13">
        <f t="shared" si="4"/>
        <v>25088</v>
      </c>
      <c r="J14" s="13">
        <v>0</v>
      </c>
      <c r="K14" s="22">
        <v>0</v>
      </c>
      <c r="L14" s="24">
        <f>I14*E14*F14</f>
        <v>130056192</v>
      </c>
      <c r="M14" s="8">
        <v>0</v>
      </c>
      <c r="N14" s="8">
        <v>0</v>
      </c>
    </row>
    <row r="15" spans="2:14">
      <c r="B15" s="8"/>
      <c r="C15" s="13">
        <v>192</v>
      </c>
      <c r="D15" s="34" t="s">
        <v>40</v>
      </c>
      <c r="E15" s="34">
        <v>1</v>
      </c>
      <c r="F15" s="13">
        <v>32</v>
      </c>
      <c r="G15" s="13" t="s">
        <v>40</v>
      </c>
      <c r="H15" s="13" t="s">
        <v>83</v>
      </c>
      <c r="I15" s="13">
        <f t="shared" si="4"/>
        <v>25088</v>
      </c>
      <c r="J15" s="13">
        <f t="shared" ref="J15:J21" si="9">C15*E15*F15+F15</f>
        <v>6176</v>
      </c>
      <c r="K15" s="24">
        <f t="shared" ref="K15:K21" si="10">I15*F15*(2*C15*E15+1)</f>
        <v>309084160</v>
      </c>
      <c r="L15" s="24"/>
      <c r="M15" s="8">
        <f t="shared" ref="M15:M21" si="11">4*I14*F14</f>
        <v>19267584</v>
      </c>
      <c r="N15" s="8">
        <f t="shared" si="8"/>
        <v>4816896</v>
      </c>
    </row>
    <row r="16" spans="2:14">
      <c r="B16" s="8" t="s">
        <v>89</v>
      </c>
      <c r="C16" s="13">
        <v>0</v>
      </c>
      <c r="F16" s="13">
        <v>256</v>
      </c>
      <c r="H16" s="13" t="s">
        <v>83</v>
      </c>
      <c r="I16" s="13">
        <f t="shared" si="4"/>
        <v>25088</v>
      </c>
      <c r="J16" s="13">
        <f t="shared" si="9"/>
        <v>256</v>
      </c>
      <c r="K16" s="24">
        <f t="shared" si="10"/>
        <v>6422528</v>
      </c>
      <c r="L16" s="24"/>
      <c r="M16" s="8">
        <f t="shared" si="11"/>
        <v>3211264</v>
      </c>
      <c r="N16" s="8">
        <f t="shared" si="8"/>
        <v>802816</v>
      </c>
    </row>
    <row r="17" spans="1:14">
      <c r="A17" s="12" t="s">
        <v>90</v>
      </c>
      <c r="B17" s="15" t="s">
        <v>85</v>
      </c>
      <c r="C17" s="13">
        <v>256</v>
      </c>
      <c r="D17" s="34" t="s">
        <v>40</v>
      </c>
      <c r="E17" s="34">
        <v>1</v>
      </c>
      <c r="F17" s="13">
        <v>128</v>
      </c>
      <c r="G17" s="13" t="s">
        <v>40</v>
      </c>
      <c r="H17" s="13" t="s">
        <v>83</v>
      </c>
      <c r="I17" s="13">
        <f t="shared" si="4"/>
        <v>25088</v>
      </c>
      <c r="J17" s="13">
        <f t="shared" si="9"/>
        <v>32896</v>
      </c>
      <c r="K17" s="24">
        <f t="shared" si="10"/>
        <v>1647378432</v>
      </c>
      <c r="L17" s="24"/>
      <c r="M17" s="8">
        <f t="shared" si="11"/>
        <v>25690112</v>
      </c>
      <c r="N17" s="8">
        <f t="shared" si="8"/>
        <v>6422528</v>
      </c>
    </row>
    <row r="18" spans="2:14">
      <c r="B18" s="15" t="s">
        <v>86</v>
      </c>
      <c r="C18" s="13">
        <v>256</v>
      </c>
      <c r="D18" s="34" t="s">
        <v>40</v>
      </c>
      <c r="E18" s="34">
        <v>1</v>
      </c>
      <c r="F18" s="13">
        <v>128</v>
      </c>
      <c r="G18" s="13" t="s">
        <v>40</v>
      </c>
      <c r="H18" s="13" t="s">
        <v>83</v>
      </c>
      <c r="I18" s="13">
        <f t="shared" si="4"/>
        <v>25088</v>
      </c>
      <c r="J18" s="13">
        <f t="shared" si="9"/>
        <v>32896</v>
      </c>
      <c r="K18" s="24">
        <f t="shared" si="10"/>
        <v>1647378432</v>
      </c>
      <c r="L18" s="24"/>
      <c r="M18" s="8">
        <f t="shared" si="11"/>
        <v>12845056</v>
      </c>
      <c r="N18" s="8">
        <f t="shared" si="8"/>
        <v>3211264</v>
      </c>
    </row>
    <row r="19" spans="2:14">
      <c r="B19" s="15"/>
      <c r="C19" s="13">
        <v>128</v>
      </c>
      <c r="D19" s="34" t="s">
        <v>46</v>
      </c>
      <c r="E19" s="34">
        <v>27</v>
      </c>
      <c r="F19" s="13">
        <v>192</v>
      </c>
      <c r="G19" s="13" t="s">
        <v>40</v>
      </c>
      <c r="H19" s="13" t="s">
        <v>83</v>
      </c>
      <c r="I19" s="13">
        <f t="shared" si="4"/>
        <v>25088</v>
      </c>
      <c r="J19" s="13">
        <f t="shared" si="9"/>
        <v>663744</v>
      </c>
      <c r="K19" s="24">
        <f t="shared" si="10"/>
        <v>33299202048</v>
      </c>
      <c r="L19" s="24"/>
      <c r="M19" s="8">
        <f t="shared" si="11"/>
        <v>12845056</v>
      </c>
      <c r="N19" s="8">
        <f t="shared" si="8"/>
        <v>3211264</v>
      </c>
    </row>
    <row r="20" spans="2:14">
      <c r="B20" s="15" t="s">
        <v>87</v>
      </c>
      <c r="C20" s="13">
        <v>256</v>
      </c>
      <c r="D20" s="34" t="s">
        <v>40</v>
      </c>
      <c r="E20" s="34">
        <v>1</v>
      </c>
      <c r="F20" s="13">
        <v>32</v>
      </c>
      <c r="G20" s="13" t="s">
        <v>40</v>
      </c>
      <c r="H20" s="13" t="s">
        <v>83</v>
      </c>
      <c r="I20" s="13">
        <f t="shared" si="4"/>
        <v>25088</v>
      </c>
      <c r="J20" s="13">
        <f t="shared" si="9"/>
        <v>8224</v>
      </c>
      <c r="K20" s="24">
        <f t="shared" si="10"/>
        <v>411844608</v>
      </c>
      <c r="L20" s="24"/>
      <c r="M20" s="8">
        <f t="shared" si="11"/>
        <v>19267584</v>
      </c>
      <c r="N20" s="8">
        <f t="shared" si="8"/>
        <v>4816896</v>
      </c>
    </row>
    <row r="21" spans="2:14">
      <c r="B21" s="15"/>
      <c r="C21" s="13">
        <v>32</v>
      </c>
      <c r="D21" s="34" t="s">
        <v>46</v>
      </c>
      <c r="E21" s="34">
        <v>27</v>
      </c>
      <c r="F21" s="13">
        <v>96</v>
      </c>
      <c r="G21" s="13" t="s">
        <v>40</v>
      </c>
      <c r="H21" s="13" t="s">
        <v>83</v>
      </c>
      <c r="I21" s="13">
        <f t="shared" si="4"/>
        <v>25088</v>
      </c>
      <c r="J21" s="13">
        <f t="shared" si="9"/>
        <v>83040</v>
      </c>
      <c r="K21" s="24">
        <f t="shared" si="10"/>
        <v>4164206592</v>
      </c>
      <c r="L21" s="24"/>
      <c r="M21" s="8">
        <f t="shared" si="11"/>
        <v>3211264</v>
      </c>
      <c r="N21" s="8">
        <f t="shared" si="8"/>
        <v>802816</v>
      </c>
    </row>
    <row r="22" spans="2:14">
      <c r="B22" s="15" t="s">
        <v>88</v>
      </c>
      <c r="C22" s="13">
        <v>1</v>
      </c>
      <c r="D22" s="34" t="s">
        <v>46</v>
      </c>
      <c r="E22" s="34">
        <v>27</v>
      </c>
      <c r="F22" s="13">
        <v>256</v>
      </c>
      <c r="G22" s="13" t="s">
        <v>40</v>
      </c>
      <c r="H22" s="13" t="s">
        <v>83</v>
      </c>
      <c r="I22" s="13">
        <f t="shared" si="4"/>
        <v>25088</v>
      </c>
      <c r="J22" s="13">
        <v>0</v>
      </c>
      <c r="K22" s="22">
        <v>0</v>
      </c>
      <c r="L22" s="24">
        <f>I22*E22*F22</f>
        <v>173408256</v>
      </c>
      <c r="M22" s="8">
        <v>0</v>
      </c>
      <c r="N22" s="8">
        <v>0</v>
      </c>
    </row>
    <row r="23" spans="2:14">
      <c r="B23" s="15"/>
      <c r="C23" s="13">
        <v>256</v>
      </c>
      <c r="D23" s="34" t="s">
        <v>40</v>
      </c>
      <c r="E23" s="34">
        <v>1</v>
      </c>
      <c r="F23" s="13">
        <v>64</v>
      </c>
      <c r="G23" s="13" t="s">
        <v>40</v>
      </c>
      <c r="H23" s="13" t="s">
        <v>83</v>
      </c>
      <c r="I23" s="13">
        <f t="shared" si="4"/>
        <v>25088</v>
      </c>
      <c r="J23" s="13">
        <f t="shared" ref="J23:J30" si="12">C23*E23*F23+F23</f>
        <v>16448</v>
      </c>
      <c r="K23" s="24">
        <f t="shared" ref="K23:K30" si="13">I23*F23*(2*C23*E23+1)</f>
        <v>823689216</v>
      </c>
      <c r="L23" s="24"/>
      <c r="M23" s="8">
        <f t="shared" ref="M23:M30" si="14">4*I22*F22</f>
        <v>25690112</v>
      </c>
      <c r="N23" s="8">
        <f t="shared" ref="N23:N30" si="15">I22*F22</f>
        <v>6422528</v>
      </c>
    </row>
    <row r="24" spans="2:14">
      <c r="B24" s="15" t="s">
        <v>89</v>
      </c>
      <c r="C24" s="13">
        <v>0</v>
      </c>
      <c r="F24" s="13">
        <v>480</v>
      </c>
      <c r="H24" s="13" t="s">
        <v>83</v>
      </c>
      <c r="I24" s="13">
        <f t="shared" si="4"/>
        <v>25088</v>
      </c>
      <c r="J24" s="13">
        <f t="shared" si="12"/>
        <v>480</v>
      </c>
      <c r="K24" s="24">
        <f t="shared" si="13"/>
        <v>12042240</v>
      </c>
      <c r="L24" s="24"/>
      <c r="M24" s="8">
        <f t="shared" si="14"/>
        <v>6422528</v>
      </c>
      <c r="N24" s="8">
        <f t="shared" si="15"/>
        <v>1605632</v>
      </c>
    </row>
    <row r="25" spans="1:14">
      <c r="A25" s="12" t="s">
        <v>91</v>
      </c>
      <c r="C25" s="13">
        <v>1</v>
      </c>
      <c r="D25" s="34" t="s">
        <v>46</v>
      </c>
      <c r="E25" s="34">
        <v>27</v>
      </c>
      <c r="F25" s="13">
        <v>480</v>
      </c>
      <c r="G25" s="13" t="s">
        <v>49</v>
      </c>
      <c r="H25" s="13" t="s">
        <v>92</v>
      </c>
      <c r="I25" s="13">
        <f t="shared" ref="I25:I33" si="16">16*14*14</f>
        <v>3136</v>
      </c>
      <c r="J25" s="13">
        <v>0</v>
      </c>
      <c r="K25" s="22">
        <v>0</v>
      </c>
      <c r="L25" s="24">
        <f>I25*E25*F25</f>
        <v>40642560</v>
      </c>
      <c r="M25" s="8">
        <v>0</v>
      </c>
      <c r="N25" s="8">
        <v>0</v>
      </c>
    </row>
    <row r="26" spans="1:14">
      <c r="A26" s="12" t="s">
        <v>93</v>
      </c>
      <c r="B26" s="16" t="s">
        <v>85</v>
      </c>
      <c r="C26" s="13">
        <v>480</v>
      </c>
      <c r="D26" s="34" t="s">
        <v>40</v>
      </c>
      <c r="E26" s="34">
        <v>1</v>
      </c>
      <c r="F26" s="13">
        <v>192</v>
      </c>
      <c r="G26" s="13" t="s">
        <v>40</v>
      </c>
      <c r="H26" s="13" t="s">
        <v>92</v>
      </c>
      <c r="I26" s="13">
        <f t="shared" si="16"/>
        <v>3136</v>
      </c>
      <c r="J26" s="13">
        <f t="shared" si="12"/>
        <v>92352</v>
      </c>
      <c r="K26" s="24">
        <f t="shared" si="13"/>
        <v>578629632</v>
      </c>
      <c r="L26" s="24"/>
      <c r="M26" s="8">
        <f t="shared" si="14"/>
        <v>6021120</v>
      </c>
      <c r="N26" s="8">
        <f t="shared" si="15"/>
        <v>1505280</v>
      </c>
    </row>
    <row r="27" spans="2:14">
      <c r="B27" s="16" t="s">
        <v>86</v>
      </c>
      <c r="C27" s="13">
        <v>480</v>
      </c>
      <c r="D27" s="34" t="s">
        <v>40</v>
      </c>
      <c r="E27" s="34">
        <v>1</v>
      </c>
      <c r="F27" s="13">
        <v>96</v>
      </c>
      <c r="G27" s="13" t="s">
        <v>40</v>
      </c>
      <c r="H27" s="13" t="s">
        <v>92</v>
      </c>
      <c r="I27" s="13">
        <f t="shared" si="16"/>
        <v>3136</v>
      </c>
      <c r="J27" s="13">
        <f t="shared" si="12"/>
        <v>46176</v>
      </c>
      <c r="K27" s="24">
        <f t="shared" si="13"/>
        <v>289314816</v>
      </c>
      <c r="L27" s="24"/>
      <c r="M27" s="8">
        <f t="shared" si="14"/>
        <v>2408448</v>
      </c>
      <c r="N27" s="8">
        <f t="shared" si="15"/>
        <v>602112</v>
      </c>
    </row>
    <row r="28" spans="2:14">
      <c r="B28" s="16"/>
      <c r="C28" s="13">
        <v>96</v>
      </c>
      <c r="D28" s="34" t="s">
        <v>46</v>
      </c>
      <c r="E28" s="34">
        <v>27</v>
      </c>
      <c r="F28" s="13">
        <v>208</v>
      </c>
      <c r="G28" s="13" t="s">
        <v>40</v>
      </c>
      <c r="H28" s="13" t="s">
        <v>92</v>
      </c>
      <c r="I28" s="13">
        <f t="shared" si="16"/>
        <v>3136</v>
      </c>
      <c r="J28" s="13">
        <f t="shared" si="12"/>
        <v>539344</v>
      </c>
      <c r="K28" s="24">
        <f t="shared" si="13"/>
        <v>3382113280</v>
      </c>
      <c r="L28" s="24"/>
      <c r="M28" s="8">
        <f t="shared" si="14"/>
        <v>1204224</v>
      </c>
      <c r="N28" s="8">
        <f t="shared" si="15"/>
        <v>301056</v>
      </c>
    </row>
    <row r="29" spans="2:14">
      <c r="B29" s="16" t="s">
        <v>87</v>
      </c>
      <c r="C29" s="13">
        <v>480</v>
      </c>
      <c r="D29" s="34" t="s">
        <v>40</v>
      </c>
      <c r="E29" s="34">
        <v>1</v>
      </c>
      <c r="F29" s="13">
        <v>16</v>
      </c>
      <c r="G29" s="13" t="s">
        <v>40</v>
      </c>
      <c r="H29" s="13" t="s">
        <v>92</v>
      </c>
      <c r="I29" s="13">
        <f t="shared" si="16"/>
        <v>3136</v>
      </c>
      <c r="J29" s="13">
        <f t="shared" si="12"/>
        <v>7696</v>
      </c>
      <c r="K29" s="24">
        <f t="shared" si="13"/>
        <v>48219136</v>
      </c>
      <c r="L29" s="24"/>
      <c r="M29" s="8">
        <f t="shared" si="14"/>
        <v>2609152</v>
      </c>
      <c r="N29" s="8">
        <f t="shared" si="15"/>
        <v>652288</v>
      </c>
    </row>
    <row r="30" spans="2:14">
      <c r="B30" s="16"/>
      <c r="C30" s="13">
        <v>16</v>
      </c>
      <c r="D30" s="34" t="s">
        <v>46</v>
      </c>
      <c r="E30" s="34">
        <v>27</v>
      </c>
      <c r="F30" s="13">
        <v>48</v>
      </c>
      <c r="G30" s="13" t="s">
        <v>40</v>
      </c>
      <c r="H30" s="13" t="s">
        <v>92</v>
      </c>
      <c r="I30" s="13">
        <f t="shared" si="16"/>
        <v>3136</v>
      </c>
      <c r="J30" s="13">
        <f t="shared" si="12"/>
        <v>20784</v>
      </c>
      <c r="K30" s="24">
        <f t="shared" si="13"/>
        <v>130206720</v>
      </c>
      <c r="L30" s="24"/>
      <c r="M30" s="8">
        <f t="shared" si="14"/>
        <v>200704</v>
      </c>
      <c r="N30" s="8">
        <f t="shared" si="15"/>
        <v>50176</v>
      </c>
    </row>
    <row r="31" spans="2:14">
      <c r="B31" s="16" t="s">
        <v>88</v>
      </c>
      <c r="C31" s="13">
        <v>1</v>
      </c>
      <c r="D31" s="34" t="s">
        <v>46</v>
      </c>
      <c r="E31" s="34">
        <v>27</v>
      </c>
      <c r="F31" s="13">
        <v>480</v>
      </c>
      <c r="G31" s="13" t="s">
        <v>40</v>
      </c>
      <c r="H31" s="13" t="s">
        <v>92</v>
      </c>
      <c r="I31" s="13">
        <f t="shared" si="16"/>
        <v>3136</v>
      </c>
      <c r="J31" s="13">
        <v>0</v>
      </c>
      <c r="K31" s="22">
        <v>0</v>
      </c>
      <c r="L31" s="24">
        <f>I31*E31*F31</f>
        <v>40642560</v>
      </c>
      <c r="M31" s="8">
        <v>0</v>
      </c>
      <c r="N31" s="8">
        <v>0</v>
      </c>
    </row>
    <row r="32" spans="2:14">
      <c r="B32" s="16"/>
      <c r="C32" s="13">
        <v>480</v>
      </c>
      <c r="D32" s="34" t="s">
        <v>40</v>
      </c>
      <c r="E32" s="34">
        <v>1</v>
      </c>
      <c r="F32" s="13">
        <v>64</v>
      </c>
      <c r="G32" s="13" t="s">
        <v>40</v>
      </c>
      <c r="H32" s="13" t="s">
        <v>92</v>
      </c>
      <c r="I32" s="13">
        <f t="shared" si="16"/>
        <v>3136</v>
      </c>
      <c r="J32" s="13">
        <f t="shared" ref="J32:J38" si="17">C32*E32*F32+F32</f>
        <v>30784</v>
      </c>
      <c r="K32" s="24">
        <f t="shared" ref="K32:K38" si="18">I32*F32*(2*C32*E32+1)</f>
        <v>192876544</v>
      </c>
      <c r="L32" s="24"/>
      <c r="M32" s="8">
        <f t="shared" ref="M32:M38" si="19">4*I31*F31</f>
        <v>6021120</v>
      </c>
      <c r="N32" s="8">
        <f t="shared" ref="N32:N38" si="20">I31*F31</f>
        <v>1505280</v>
      </c>
    </row>
    <row r="33" spans="2:14">
      <c r="B33" s="16" t="s">
        <v>89</v>
      </c>
      <c r="C33" s="13">
        <v>0</v>
      </c>
      <c r="F33" s="13">
        <v>512</v>
      </c>
      <c r="H33" s="13" t="s">
        <v>92</v>
      </c>
      <c r="I33" s="13">
        <f t="shared" si="16"/>
        <v>3136</v>
      </c>
      <c r="J33" s="13">
        <f t="shared" si="17"/>
        <v>512</v>
      </c>
      <c r="K33" s="24">
        <f t="shared" si="18"/>
        <v>1605632</v>
      </c>
      <c r="L33" s="24"/>
      <c r="M33" s="8">
        <f t="shared" si="19"/>
        <v>802816</v>
      </c>
      <c r="N33" s="8">
        <f t="shared" si="20"/>
        <v>200704</v>
      </c>
    </row>
    <row r="34" spans="1:14">
      <c r="A34" s="12" t="s">
        <v>94</v>
      </c>
      <c r="B34" s="17" t="s">
        <v>85</v>
      </c>
      <c r="C34" s="13">
        <v>512</v>
      </c>
      <c r="D34" s="34" t="s">
        <v>40</v>
      </c>
      <c r="E34" s="34">
        <v>1</v>
      </c>
      <c r="F34" s="13">
        <v>160</v>
      </c>
      <c r="G34" s="13" t="s">
        <v>40</v>
      </c>
      <c r="H34" s="13" t="s">
        <v>92</v>
      </c>
      <c r="I34" s="13">
        <f t="shared" ref="I34:I65" si="21">16*14*14</f>
        <v>3136</v>
      </c>
      <c r="J34" s="13">
        <f t="shared" si="17"/>
        <v>82080</v>
      </c>
      <c r="K34" s="24">
        <f t="shared" si="18"/>
        <v>514304000</v>
      </c>
      <c r="L34" s="24"/>
      <c r="M34" s="8">
        <f t="shared" si="19"/>
        <v>6422528</v>
      </c>
      <c r="N34" s="8">
        <f t="shared" si="20"/>
        <v>1605632</v>
      </c>
    </row>
    <row r="35" spans="2:14">
      <c r="B35" s="17" t="s">
        <v>86</v>
      </c>
      <c r="C35" s="13">
        <v>512</v>
      </c>
      <c r="D35" s="34" t="s">
        <v>40</v>
      </c>
      <c r="E35" s="34">
        <v>1</v>
      </c>
      <c r="F35" s="13">
        <v>112</v>
      </c>
      <c r="G35" s="13" t="s">
        <v>40</v>
      </c>
      <c r="H35" s="13" t="s">
        <v>92</v>
      </c>
      <c r="I35" s="13">
        <f t="shared" si="21"/>
        <v>3136</v>
      </c>
      <c r="J35" s="13">
        <f t="shared" si="17"/>
        <v>57456</v>
      </c>
      <c r="K35" s="24">
        <f t="shared" si="18"/>
        <v>360012800</v>
      </c>
      <c r="L35" s="24"/>
      <c r="M35" s="8">
        <f t="shared" si="19"/>
        <v>2007040</v>
      </c>
      <c r="N35" s="8">
        <f t="shared" si="20"/>
        <v>501760</v>
      </c>
    </row>
    <row r="36" spans="2:14">
      <c r="B36" s="17"/>
      <c r="C36" s="13">
        <v>112</v>
      </c>
      <c r="D36" s="34" t="s">
        <v>46</v>
      </c>
      <c r="E36" s="34">
        <v>27</v>
      </c>
      <c r="F36" s="13">
        <v>224</v>
      </c>
      <c r="G36" s="13" t="s">
        <v>40</v>
      </c>
      <c r="H36" s="13" t="s">
        <v>92</v>
      </c>
      <c r="I36" s="13">
        <f t="shared" si="21"/>
        <v>3136</v>
      </c>
      <c r="J36" s="13">
        <f t="shared" si="17"/>
        <v>677600</v>
      </c>
      <c r="K36" s="24">
        <f t="shared" si="18"/>
        <v>4249204736</v>
      </c>
      <c r="L36" s="24"/>
      <c r="M36" s="8">
        <f t="shared" si="19"/>
        <v>1404928</v>
      </c>
      <c r="N36" s="8">
        <f t="shared" si="20"/>
        <v>351232</v>
      </c>
    </row>
    <row r="37" spans="2:14">
      <c r="B37" s="17" t="s">
        <v>87</v>
      </c>
      <c r="C37" s="13">
        <v>512</v>
      </c>
      <c r="D37" s="34" t="s">
        <v>40</v>
      </c>
      <c r="E37" s="34">
        <v>1</v>
      </c>
      <c r="F37" s="13">
        <v>24</v>
      </c>
      <c r="G37" s="13" t="s">
        <v>40</v>
      </c>
      <c r="H37" s="13" t="s">
        <v>92</v>
      </c>
      <c r="I37" s="13">
        <f t="shared" si="21"/>
        <v>3136</v>
      </c>
      <c r="J37" s="13">
        <f t="shared" si="17"/>
        <v>12312</v>
      </c>
      <c r="K37" s="24">
        <f t="shared" si="18"/>
        <v>77145600</v>
      </c>
      <c r="L37" s="24"/>
      <c r="M37" s="8">
        <f t="shared" si="19"/>
        <v>2809856</v>
      </c>
      <c r="N37" s="8">
        <f t="shared" si="20"/>
        <v>702464</v>
      </c>
    </row>
    <row r="38" spans="2:14">
      <c r="B38" s="17"/>
      <c r="C38" s="13">
        <v>24</v>
      </c>
      <c r="D38" s="34" t="s">
        <v>46</v>
      </c>
      <c r="E38" s="34">
        <v>27</v>
      </c>
      <c r="F38" s="13">
        <v>64</v>
      </c>
      <c r="G38" s="13" t="s">
        <v>40</v>
      </c>
      <c r="H38" s="13" t="s">
        <v>92</v>
      </c>
      <c r="I38" s="13">
        <f t="shared" si="21"/>
        <v>3136</v>
      </c>
      <c r="J38" s="13">
        <f t="shared" si="17"/>
        <v>41536</v>
      </c>
      <c r="K38" s="24">
        <f t="shared" si="18"/>
        <v>260313088</v>
      </c>
      <c r="L38" s="24"/>
      <c r="M38" s="8">
        <f t="shared" si="19"/>
        <v>301056</v>
      </c>
      <c r="N38" s="8">
        <f t="shared" si="20"/>
        <v>75264</v>
      </c>
    </row>
    <row r="39" spans="2:14">
      <c r="B39" s="17" t="s">
        <v>88</v>
      </c>
      <c r="C39" s="13">
        <v>1</v>
      </c>
      <c r="D39" s="34" t="s">
        <v>46</v>
      </c>
      <c r="E39" s="34">
        <v>27</v>
      </c>
      <c r="F39" s="13">
        <v>512</v>
      </c>
      <c r="G39" s="13" t="s">
        <v>40</v>
      </c>
      <c r="H39" s="13" t="s">
        <v>92</v>
      </c>
      <c r="I39" s="13">
        <f t="shared" si="21"/>
        <v>3136</v>
      </c>
      <c r="J39" s="13">
        <v>0</v>
      </c>
      <c r="K39" s="22">
        <v>0</v>
      </c>
      <c r="L39" s="24">
        <f>I39*E39*F39</f>
        <v>43352064</v>
      </c>
      <c r="M39" s="8">
        <v>0</v>
      </c>
      <c r="N39" s="8">
        <v>0</v>
      </c>
    </row>
    <row r="40" spans="2:14">
      <c r="B40" s="17"/>
      <c r="C40" s="13">
        <v>512</v>
      </c>
      <c r="D40" s="34" t="s">
        <v>40</v>
      </c>
      <c r="E40" s="34">
        <v>1</v>
      </c>
      <c r="F40" s="13">
        <v>64</v>
      </c>
      <c r="G40" s="13" t="s">
        <v>40</v>
      </c>
      <c r="H40" s="13" t="s">
        <v>92</v>
      </c>
      <c r="I40" s="13">
        <f t="shared" si="21"/>
        <v>3136</v>
      </c>
      <c r="J40" s="13">
        <f t="shared" ref="J40:J46" si="22">C40*E40*F40+F40</f>
        <v>32832</v>
      </c>
      <c r="K40" s="24">
        <f t="shared" ref="K40:K46" si="23">I40*F40*(2*C40*E40+1)</f>
        <v>205721600</v>
      </c>
      <c r="L40" s="24"/>
      <c r="M40" s="8">
        <f t="shared" ref="M40:M46" si="24">4*I39*F39</f>
        <v>6422528</v>
      </c>
      <c r="N40" s="8">
        <f t="shared" ref="N40:N46" si="25">I39*F39</f>
        <v>1605632</v>
      </c>
    </row>
    <row r="41" spans="2:14">
      <c r="B41" s="17" t="s">
        <v>89</v>
      </c>
      <c r="C41" s="13">
        <v>0</v>
      </c>
      <c r="F41" s="13">
        <v>512</v>
      </c>
      <c r="H41" s="13" t="s">
        <v>92</v>
      </c>
      <c r="I41" s="13">
        <f t="shared" si="21"/>
        <v>3136</v>
      </c>
      <c r="J41" s="13">
        <f t="shared" si="22"/>
        <v>512</v>
      </c>
      <c r="K41" s="24">
        <f t="shared" si="23"/>
        <v>1605632</v>
      </c>
      <c r="L41" s="24"/>
      <c r="M41" s="8">
        <f t="shared" si="24"/>
        <v>802816</v>
      </c>
      <c r="N41" s="8">
        <f t="shared" si="25"/>
        <v>200704</v>
      </c>
    </row>
    <row r="42" spans="1:14">
      <c r="A42" s="12" t="s">
        <v>95</v>
      </c>
      <c r="B42" s="18" t="s">
        <v>85</v>
      </c>
      <c r="C42" s="13">
        <v>512</v>
      </c>
      <c r="D42" s="34" t="s">
        <v>40</v>
      </c>
      <c r="E42" s="34">
        <v>1</v>
      </c>
      <c r="F42" s="13">
        <v>128</v>
      </c>
      <c r="G42" s="13" t="s">
        <v>40</v>
      </c>
      <c r="H42" s="13" t="s">
        <v>92</v>
      </c>
      <c r="I42" s="13">
        <f t="shared" si="21"/>
        <v>3136</v>
      </c>
      <c r="J42" s="13">
        <f t="shared" si="22"/>
        <v>65664</v>
      </c>
      <c r="K42" s="24">
        <f t="shared" si="23"/>
        <v>411443200</v>
      </c>
      <c r="L42" s="24"/>
      <c r="M42" s="8">
        <f t="shared" si="24"/>
        <v>6422528</v>
      </c>
      <c r="N42" s="8">
        <f t="shared" si="25"/>
        <v>1605632</v>
      </c>
    </row>
    <row r="43" spans="2:14">
      <c r="B43" s="18" t="s">
        <v>86</v>
      </c>
      <c r="C43" s="13">
        <v>512</v>
      </c>
      <c r="D43" s="34" t="s">
        <v>40</v>
      </c>
      <c r="E43" s="34">
        <v>1</v>
      </c>
      <c r="F43" s="13">
        <v>128</v>
      </c>
      <c r="G43" s="13" t="s">
        <v>40</v>
      </c>
      <c r="H43" s="13" t="s">
        <v>92</v>
      </c>
      <c r="I43" s="13">
        <f t="shared" si="21"/>
        <v>3136</v>
      </c>
      <c r="J43" s="13">
        <f t="shared" si="22"/>
        <v>65664</v>
      </c>
      <c r="K43" s="24">
        <f t="shared" si="23"/>
        <v>411443200</v>
      </c>
      <c r="L43" s="24"/>
      <c r="M43" s="8">
        <f t="shared" si="24"/>
        <v>1605632</v>
      </c>
      <c r="N43" s="8">
        <f t="shared" si="25"/>
        <v>401408</v>
      </c>
    </row>
    <row r="44" spans="2:14">
      <c r="B44" s="18"/>
      <c r="C44" s="13">
        <v>128</v>
      </c>
      <c r="D44" s="34" t="s">
        <v>46</v>
      </c>
      <c r="E44" s="34">
        <v>27</v>
      </c>
      <c r="F44" s="13">
        <v>256</v>
      </c>
      <c r="G44" s="13" t="s">
        <v>40</v>
      </c>
      <c r="H44" s="13" t="s">
        <v>92</v>
      </c>
      <c r="I44" s="13">
        <f t="shared" si="21"/>
        <v>3136</v>
      </c>
      <c r="J44" s="13">
        <f t="shared" si="22"/>
        <v>884992</v>
      </c>
      <c r="K44" s="24">
        <f t="shared" si="23"/>
        <v>5549867008</v>
      </c>
      <c r="L44" s="24"/>
      <c r="M44" s="8">
        <f t="shared" si="24"/>
        <v>1605632</v>
      </c>
      <c r="N44" s="8">
        <f t="shared" si="25"/>
        <v>401408</v>
      </c>
    </row>
    <row r="45" spans="2:14">
      <c r="B45" s="18" t="s">
        <v>87</v>
      </c>
      <c r="C45" s="13">
        <v>512</v>
      </c>
      <c r="D45" s="34" t="s">
        <v>40</v>
      </c>
      <c r="E45" s="34">
        <v>1</v>
      </c>
      <c r="F45" s="13">
        <v>24</v>
      </c>
      <c r="G45" s="13" t="s">
        <v>40</v>
      </c>
      <c r="H45" s="13" t="s">
        <v>92</v>
      </c>
      <c r="I45" s="13">
        <f t="shared" si="21"/>
        <v>3136</v>
      </c>
      <c r="J45" s="13">
        <f t="shared" si="22"/>
        <v>12312</v>
      </c>
      <c r="K45" s="24">
        <f t="shared" si="23"/>
        <v>77145600</v>
      </c>
      <c r="L45" s="24"/>
      <c r="M45" s="8">
        <f t="shared" si="24"/>
        <v>3211264</v>
      </c>
      <c r="N45" s="8">
        <f t="shared" si="25"/>
        <v>802816</v>
      </c>
    </row>
    <row r="46" spans="2:14">
      <c r="B46" s="18"/>
      <c r="C46" s="13">
        <v>24</v>
      </c>
      <c r="D46" s="34" t="s">
        <v>46</v>
      </c>
      <c r="E46" s="34">
        <v>27</v>
      </c>
      <c r="F46" s="13">
        <v>64</v>
      </c>
      <c r="G46" s="13" t="s">
        <v>40</v>
      </c>
      <c r="H46" s="13" t="s">
        <v>92</v>
      </c>
      <c r="I46" s="13">
        <f t="shared" si="21"/>
        <v>3136</v>
      </c>
      <c r="J46" s="13">
        <f t="shared" si="22"/>
        <v>41536</v>
      </c>
      <c r="K46" s="24">
        <f t="shared" si="23"/>
        <v>260313088</v>
      </c>
      <c r="L46" s="24"/>
      <c r="M46" s="8">
        <f t="shared" si="24"/>
        <v>301056</v>
      </c>
      <c r="N46" s="8">
        <f t="shared" si="25"/>
        <v>75264</v>
      </c>
    </row>
    <row r="47" spans="2:14">
      <c r="B47" s="18" t="s">
        <v>88</v>
      </c>
      <c r="C47" s="13">
        <v>1</v>
      </c>
      <c r="D47" s="34" t="s">
        <v>46</v>
      </c>
      <c r="E47" s="34">
        <v>27</v>
      </c>
      <c r="F47" s="13">
        <v>512</v>
      </c>
      <c r="G47" s="13" t="s">
        <v>40</v>
      </c>
      <c r="H47" s="13" t="s">
        <v>92</v>
      </c>
      <c r="I47" s="13">
        <f t="shared" si="21"/>
        <v>3136</v>
      </c>
      <c r="J47" s="13">
        <v>0</v>
      </c>
      <c r="K47" s="22">
        <v>0</v>
      </c>
      <c r="L47" s="24">
        <f>I47*E47*F47</f>
        <v>43352064</v>
      </c>
      <c r="M47" s="8">
        <v>0</v>
      </c>
      <c r="N47" s="8">
        <v>0</v>
      </c>
    </row>
    <row r="48" spans="2:14">
      <c r="B48" s="18"/>
      <c r="C48" s="13">
        <v>512</v>
      </c>
      <c r="D48" s="34" t="s">
        <v>40</v>
      </c>
      <c r="E48" s="34">
        <v>1</v>
      </c>
      <c r="F48" s="13">
        <v>64</v>
      </c>
      <c r="G48" s="13" t="s">
        <v>40</v>
      </c>
      <c r="H48" s="13" t="s">
        <v>92</v>
      </c>
      <c r="I48" s="13">
        <f t="shared" si="21"/>
        <v>3136</v>
      </c>
      <c r="J48" s="13">
        <f t="shared" ref="J48:J54" si="26">C48*E48*F48+F48</f>
        <v>32832</v>
      </c>
      <c r="K48" s="24">
        <f t="shared" ref="K48:K54" si="27">I48*F48*(2*C48*E48+1)</f>
        <v>205721600</v>
      </c>
      <c r="L48" s="24"/>
      <c r="M48" s="8">
        <f t="shared" ref="M48:M54" si="28">4*I47*F47</f>
        <v>6422528</v>
      </c>
      <c r="N48" s="8">
        <f t="shared" ref="N48:N54" si="29">I47*F47</f>
        <v>1605632</v>
      </c>
    </row>
    <row r="49" spans="2:14">
      <c r="B49" s="18" t="s">
        <v>89</v>
      </c>
      <c r="C49" s="13">
        <v>0</v>
      </c>
      <c r="F49" s="13">
        <v>512</v>
      </c>
      <c r="H49" s="13" t="s">
        <v>92</v>
      </c>
      <c r="I49" s="13">
        <f t="shared" si="21"/>
        <v>3136</v>
      </c>
      <c r="J49" s="13">
        <f t="shared" si="26"/>
        <v>512</v>
      </c>
      <c r="K49" s="24">
        <f t="shared" si="27"/>
        <v>1605632</v>
      </c>
      <c r="L49" s="24"/>
      <c r="M49" s="8">
        <f t="shared" si="28"/>
        <v>802816</v>
      </c>
      <c r="N49" s="8">
        <f t="shared" si="29"/>
        <v>200704</v>
      </c>
    </row>
    <row r="50" spans="1:14">
      <c r="A50" s="12" t="s">
        <v>96</v>
      </c>
      <c r="B50" s="19" t="s">
        <v>85</v>
      </c>
      <c r="C50" s="13">
        <v>512</v>
      </c>
      <c r="D50" s="34" t="s">
        <v>40</v>
      </c>
      <c r="E50" s="34">
        <v>1</v>
      </c>
      <c r="F50" s="13">
        <v>112</v>
      </c>
      <c r="G50" s="13" t="s">
        <v>40</v>
      </c>
      <c r="H50" s="13" t="s">
        <v>92</v>
      </c>
      <c r="I50" s="13">
        <f t="shared" si="21"/>
        <v>3136</v>
      </c>
      <c r="J50" s="13">
        <f t="shared" si="26"/>
        <v>57456</v>
      </c>
      <c r="K50" s="24">
        <f t="shared" si="27"/>
        <v>360012800</v>
      </c>
      <c r="L50" s="24"/>
      <c r="M50" s="8">
        <f t="shared" si="28"/>
        <v>6422528</v>
      </c>
      <c r="N50" s="8">
        <f t="shared" si="29"/>
        <v>1605632</v>
      </c>
    </row>
    <row r="51" spans="2:14">
      <c r="B51" s="19" t="s">
        <v>86</v>
      </c>
      <c r="C51" s="13">
        <v>512</v>
      </c>
      <c r="D51" s="34" t="s">
        <v>40</v>
      </c>
      <c r="E51" s="34">
        <v>1</v>
      </c>
      <c r="F51" s="13">
        <v>144</v>
      </c>
      <c r="G51" s="13" t="s">
        <v>40</v>
      </c>
      <c r="H51" s="13" t="s">
        <v>92</v>
      </c>
      <c r="I51" s="13">
        <f t="shared" si="21"/>
        <v>3136</v>
      </c>
      <c r="J51" s="13">
        <f t="shared" si="26"/>
        <v>73872</v>
      </c>
      <c r="K51" s="24">
        <f t="shared" si="27"/>
        <v>462873600</v>
      </c>
      <c r="L51" s="24"/>
      <c r="M51" s="8">
        <f t="shared" si="28"/>
        <v>1404928</v>
      </c>
      <c r="N51" s="8">
        <f t="shared" si="29"/>
        <v>351232</v>
      </c>
    </row>
    <row r="52" spans="2:14">
      <c r="B52" s="19"/>
      <c r="C52" s="13">
        <v>144</v>
      </c>
      <c r="D52" s="34" t="s">
        <v>46</v>
      </c>
      <c r="E52" s="34">
        <v>27</v>
      </c>
      <c r="F52" s="13">
        <v>288</v>
      </c>
      <c r="G52" s="13" t="s">
        <v>40</v>
      </c>
      <c r="H52" s="13" t="s">
        <v>92</v>
      </c>
      <c r="I52" s="13">
        <f t="shared" si="21"/>
        <v>3136</v>
      </c>
      <c r="J52" s="13">
        <f t="shared" si="26"/>
        <v>1120032</v>
      </c>
      <c r="K52" s="24">
        <f t="shared" si="27"/>
        <v>7023937536</v>
      </c>
      <c r="L52" s="24"/>
      <c r="M52" s="8">
        <f t="shared" si="28"/>
        <v>1806336</v>
      </c>
      <c r="N52" s="8">
        <f t="shared" si="29"/>
        <v>451584</v>
      </c>
    </row>
    <row r="53" spans="2:14">
      <c r="B53" s="19" t="s">
        <v>87</v>
      </c>
      <c r="C53" s="13">
        <v>512</v>
      </c>
      <c r="D53" s="34" t="s">
        <v>40</v>
      </c>
      <c r="E53" s="34">
        <v>1</v>
      </c>
      <c r="F53" s="13">
        <v>32</v>
      </c>
      <c r="G53" s="13" t="s">
        <v>40</v>
      </c>
      <c r="H53" s="13" t="s">
        <v>92</v>
      </c>
      <c r="I53" s="13">
        <f t="shared" si="21"/>
        <v>3136</v>
      </c>
      <c r="J53" s="13">
        <f t="shared" si="26"/>
        <v>16416</v>
      </c>
      <c r="K53" s="24">
        <f t="shared" si="27"/>
        <v>102860800</v>
      </c>
      <c r="L53" s="24"/>
      <c r="M53" s="8">
        <f t="shared" si="28"/>
        <v>3612672</v>
      </c>
      <c r="N53" s="8">
        <f t="shared" si="29"/>
        <v>903168</v>
      </c>
    </row>
    <row r="54" spans="2:14">
      <c r="B54" s="19"/>
      <c r="C54" s="13">
        <v>32</v>
      </c>
      <c r="D54" s="34" t="s">
        <v>46</v>
      </c>
      <c r="E54" s="34">
        <v>27</v>
      </c>
      <c r="F54" s="13">
        <v>64</v>
      </c>
      <c r="G54" s="13" t="s">
        <v>40</v>
      </c>
      <c r="H54" s="13" t="s">
        <v>92</v>
      </c>
      <c r="I54" s="13">
        <f t="shared" si="21"/>
        <v>3136</v>
      </c>
      <c r="J54" s="13">
        <f t="shared" si="26"/>
        <v>55360</v>
      </c>
      <c r="K54" s="24">
        <f t="shared" si="27"/>
        <v>347017216</v>
      </c>
      <c r="L54" s="24"/>
      <c r="M54" s="8">
        <f t="shared" si="28"/>
        <v>401408</v>
      </c>
      <c r="N54" s="8">
        <f t="shared" si="29"/>
        <v>100352</v>
      </c>
    </row>
    <row r="55" spans="2:14">
      <c r="B55" s="19" t="s">
        <v>88</v>
      </c>
      <c r="C55" s="13">
        <v>1</v>
      </c>
      <c r="D55" s="34" t="s">
        <v>46</v>
      </c>
      <c r="E55" s="34">
        <v>27</v>
      </c>
      <c r="F55" s="13">
        <v>512</v>
      </c>
      <c r="G55" s="13" t="s">
        <v>40</v>
      </c>
      <c r="H55" s="13" t="s">
        <v>92</v>
      </c>
      <c r="I55" s="13">
        <f t="shared" si="21"/>
        <v>3136</v>
      </c>
      <c r="J55" s="13">
        <v>0</v>
      </c>
      <c r="K55" s="22">
        <v>0</v>
      </c>
      <c r="L55" s="24">
        <f>I55*E55*F55</f>
        <v>43352064</v>
      </c>
      <c r="M55" s="8">
        <v>0</v>
      </c>
      <c r="N55" s="8">
        <v>0</v>
      </c>
    </row>
    <row r="56" spans="2:14">
      <c r="B56" s="19"/>
      <c r="C56" s="13">
        <v>512</v>
      </c>
      <c r="D56" s="34" t="s">
        <v>40</v>
      </c>
      <c r="E56" s="34">
        <v>1</v>
      </c>
      <c r="F56" s="13">
        <v>64</v>
      </c>
      <c r="G56" s="13" t="s">
        <v>40</v>
      </c>
      <c r="H56" s="13" t="s">
        <v>92</v>
      </c>
      <c r="I56" s="13">
        <f t="shared" si="21"/>
        <v>3136</v>
      </c>
      <c r="J56" s="13">
        <f t="shared" ref="J56:J62" si="30">C56*E56*F56+F56</f>
        <v>32832</v>
      </c>
      <c r="K56" s="24">
        <f t="shared" ref="K56:K62" si="31">I56*F56*(2*C56*E56+1)</f>
        <v>205721600</v>
      </c>
      <c r="L56" s="24"/>
      <c r="M56" s="8">
        <f t="shared" ref="M56:M62" si="32">4*I55*F55</f>
        <v>6422528</v>
      </c>
      <c r="N56" s="8">
        <f t="shared" ref="N56:N62" si="33">I55*F55</f>
        <v>1605632</v>
      </c>
    </row>
    <row r="57" spans="2:14">
      <c r="B57" s="19" t="s">
        <v>89</v>
      </c>
      <c r="C57" s="13">
        <v>0</v>
      </c>
      <c r="F57" s="13">
        <v>528</v>
      </c>
      <c r="H57" s="13" t="s">
        <v>92</v>
      </c>
      <c r="I57" s="13">
        <f t="shared" si="21"/>
        <v>3136</v>
      </c>
      <c r="J57" s="13">
        <f t="shared" si="30"/>
        <v>528</v>
      </c>
      <c r="K57" s="24">
        <f t="shared" si="31"/>
        <v>1655808</v>
      </c>
      <c r="L57" s="24"/>
      <c r="M57" s="8">
        <f t="shared" si="32"/>
        <v>802816</v>
      </c>
      <c r="N57" s="8">
        <f t="shared" si="33"/>
        <v>200704</v>
      </c>
    </row>
    <row r="58" spans="1:14">
      <c r="A58" s="12" t="s">
        <v>97</v>
      </c>
      <c r="B58" s="20" t="s">
        <v>85</v>
      </c>
      <c r="C58" s="13">
        <v>528</v>
      </c>
      <c r="D58" s="34" t="s">
        <v>40</v>
      </c>
      <c r="E58" s="34">
        <v>1</v>
      </c>
      <c r="F58" s="13">
        <v>256</v>
      </c>
      <c r="G58" s="13" t="s">
        <v>40</v>
      </c>
      <c r="H58" s="13" t="s">
        <v>92</v>
      </c>
      <c r="I58" s="13">
        <f t="shared" si="21"/>
        <v>3136</v>
      </c>
      <c r="J58" s="13">
        <f t="shared" si="30"/>
        <v>135424</v>
      </c>
      <c r="K58" s="24">
        <f t="shared" si="31"/>
        <v>848576512</v>
      </c>
      <c r="L58" s="24"/>
      <c r="M58" s="8">
        <f t="shared" si="32"/>
        <v>6623232</v>
      </c>
      <c r="N58" s="8">
        <f t="shared" si="33"/>
        <v>1655808</v>
      </c>
    </row>
    <row r="59" spans="2:14">
      <c r="B59" s="20" t="s">
        <v>86</v>
      </c>
      <c r="C59" s="13">
        <v>512</v>
      </c>
      <c r="D59" s="34" t="s">
        <v>40</v>
      </c>
      <c r="E59" s="34">
        <v>1</v>
      </c>
      <c r="F59" s="13">
        <v>160</v>
      </c>
      <c r="G59" s="13" t="s">
        <v>40</v>
      </c>
      <c r="H59" s="13" t="s">
        <v>92</v>
      </c>
      <c r="I59" s="13">
        <f t="shared" si="21"/>
        <v>3136</v>
      </c>
      <c r="J59" s="13">
        <f t="shared" si="30"/>
        <v>82080</v>
      </c>
      <c r="K59" s="24">
        <f t="shared" si="31"/>
        <v>514304000</v>
      </c>
      <c r="L59" s="24"/>
      <c r="M59" s="8">
        <f t="shared" si="32"/>
        <v>3211264</v>
      </c>
      <c r="N59" s="8">
        <f t="shared" si="33"/>
        <v>802816</v>
      </c>
    </row>
    <row r="60" spans="2:14">
      <c r="B60" s="20"/>
      <c r="C60" s="13">
        <v>160</v>
      </c>
      <c r="D60" s="34" t="s">
        <v>46</v>
      </c>
      <c r="E60" s="34">
        <v>27</v>
      </c>
      <c r="F60" s="13">
        <v>320</v>
      </c>
      <c r="G60" s="13" t="s">
        <v>40</v>
      </c>
      <c r="H60" s="13" t="s">
        <v>92</v>
      </c>
      <c r="I60" s="13">
        <f t="shared" si="21"/>
        <v>3136</v>
      </c>
      <c r="J60" s="13">
        <f t="shared" si="30"/>
        <v>1382720</v>
      </c>
      <c r="K60" s="24">
        <f t="shared" si="31"/>
        <v>8671416320</v>
      </c>
      <c r="L60" s="24"/>
      <c r="M60" s="8">
        <f t="shared" si="32"/>
        <v>2007040</v>
      </c>
      <c r="N60" s="8">
        <f t="shared" si="33"/>
        <v>501760</v>
      </c>
    </row>
    <row r="61" spans="2:14">
      <c r="B61" s="20" t="s">
        <v>87</v>
      </c>
      <c r="C61" s="13">
        <v>528</v>
      </c>
      <c r="D61" s="34" t="s">
        <v>40</v>
      </c>
      <c r="E61" s="34">
        <v>1</v>
      </c>
      <c r="F61" s="13">
        <v>32</v>
      </c>
      <c r="G61" s="13" t="s">
        <v>40</v>
      </c>
      <c r="H61" s="13" t="s">
        <v>92</v>
      </c>
      <c r="I61" s="13">
        <f t="shared" si="21"/>
        <v>3136</v>
      </c>
      <c r="J61" s="13">
        <f t="shared" si="30"/>
        <v>16928</v>
      </c>
      <c r="K61" s="24">
        <f t="shared" si="31"/>
        <v>106072064</v>
      </c>
      <c r="L61" s="24"/>
      <c r="M61" s="8">
        <f t="shared" si="32"/>
        <v>4014080</v>
      </c>
      <c r="N61" s="8">
        <f t="shared" si="33"/>
        <v>1003520</v>
      </c>
    </row>
    <row r="62" spans="2:14">
      <c r="B62" s="20"/>
      <c r="C62" s="13">
        <v>32</v>
      </c>
      <c r="D62" s="34" t="s">
        <v>46</v>
      </c>
      <c r="E62" s="34">
        <v>27</v>
      </c>
      <c r="F62" s="13">
        <v>128</v>
      </c>
      <c r="G62" s="13" t="s">
        <v>40</v>
      </c>
      <c r="H62" s="13" t="s">
        <v>92</v>
      </c>
      <c r="I62" s="13">
        <f t="shared" si="21"/>
        <v>3136</v>
      </c>
      <c r="J62" s="13">
        <f t="shared" si="30"/>
        <v>110720</v>
      </c>
      <c r="K62" s="24">
        <f t="shared" si="31"/>
        <v>694034432</v>
      </c>
      <c r="L62" s="24"/>
      <c r="M62" s="8">
        <f t="shared" si="32"/>
        <v>401408</v>
      </c>
      <c r="N62" s="8">
        <f t="shared" si="33"/>
        <v>100352</v>
      </c>
    </row>
    <row r="63" spans="2:14">
      <c r="B63" s="20" t="s">
        <v>88</v>
      </c>
      <c r="C63" s="13">
        <v>1</v>
      </c>
      <c r="D63" s="34" t="s">
        <v>46</v>
      </c>
      <c r="E63" s="34">
        <v>27</v>
      </c>
      <c r="F63" s="13">
        <v>528</v>
      </c>
      <c r="G63" s="13" t="s">
        <v>40</v>
      </c>
      <c r="H63" s="13" t="s">
        <v>92</v>
      </c>
      <c r="I63" s="13">
        <f t="shared" si="21"/>
        <v>3136</v>
      </c>
      <c r="J63" s="13">
        <v>0</v>
      </c>
      <c r="K63" s="22">
        <v>0</v>
      </c>
      <c r="L63" s="24">
        <f>I63*E63*F63</f>
        <v>44706816</v>
      </c>
      <c r="M63" s="8">
        <v>0</v>
      </c>
      <c r="N63" s="8">
        <v>0</v>
      </c>
    </row>
    <row r="64" spans="2:14">
      <c r="B64" s="20"/>
      <c r="C64" s="13">
        <v>528</v>
      </c>
      <c r="D64" s="34" t="s">
        <v>40</v>
      </c>
      <c r="E64" s="34">
        <v>1</v>
      </c>
      <c r="F64" s="13">
        <v>128</v>
      </c>
      <c r="G64" s="13" t="s">
        <v>40</v>
      </c>
      <c r="H64" s="13" t="s">
        <v>92</v>
      </c>
      <c r="I64" s="13">
        <f t="shared" si="21"/>
        <v>3136</v>
      </c>
      <c r="J64" s="13">
        <f t="shared" ref="J64:J71" si="34">C64*E64*F64+F64</f>
        <v>67712</v>
      </c>
      <c r="K64" s="24">
        <f t="shared" ref="K64:K71" si="35">I64*F64*(2*C64*E64+1)</f>
        <v>424288256</v>
      </c>
      <c r="L64" s="24"/>
      <c r="M64" s="8">
        <f t="shared" ref="M64:M71" si="36">4*I63*F63</f>
        <v>6623232</v>
      </c>
      <c r="N64" s="8">
        <f t="shared" ref="N64:N71" si="37">I63*F63</f>
        <v>1655808</v>
      </c>
    </row>
    <row r="65" spans="2:14">
      <c r="B65" s="20" t="s">
        <v>89</v>
      </c>
      <c r="C65" s="13">
        <v>0</v>
      </c>
      <c r="F65" s="13">
        <v>832</v>
      </c>
      <c r="H65" s="13" t="s">
        <v>92</v>
      </c>
      <c r="I65" s="13">
        <f t="shared" si="21"/>
        <v>3136</v>
      </c>
      <c r="J65" s="13">
        <f t="shared" si="34"/>
        <v>832</v>
      </c>
      <c r="K65" s="24">
        <f t="shared" si="35"/>
        <v>2609152</v>
      </c>
      <c r="L65" s="24"/>
      <c r="M65" s="8">
        <f t="shared" si="36"/>
        <v>1605632</v>
      </c>
      <c r="N65" s="8">
        <f t="shared" si="37"/>
        <v>401408</v>
      </c>
    </row>
    <row r="66" spans="1:14">
      <c r="A66" s="12" t="s">
        <v>98</v>
      </c>
      <c r="C66" s="13">
        <v>1</v>
      </c>
      <c r="D66" s="34" t="s">
        <v>49</v>
      </c>
      <c r="E66" s="34">
        <v>8</v>
      </c>
      <c r="F66" s="13">
        <v>832</v>
      </c>
      <c r="G66" s="13" t="s">
        <v>49</v>
      </c>
      <c r="H66" s="13" t="s">
        <v>99</v>
      </c>
      <c r="I66" s="13">
        <f>8*7*7</f>
        <v>392</v>
      </c>
      <c r="J66" s="13">
        <v>0</v>
      </c>
      <c r="K66" s="22">
        <v>0</v>
      </c>
      <c r="L66" s="24">
        <f>I66*E66*F66</f>
        <v>2609152</v>
      </c>
      <c r="M66" s="8">
        <v>0</v>
      </c>
      <c r="N66" s="8">
        <v>0</v>
      </c>
    </row>
    <row r="67" spans="1:14">
      <c r="A67" s="12" t="s">
        <v>100</v>
      </c>
      <c r="B67" s="27" t="s">
        <v>85</v>
      </c>
      <c r="C67" s="13">
        <v>832</v>
      </c>
      <c r="D67" s="34" t="s">
        <v>40</v>
      </c>
      <c r="E67" s="34">
        <v>1</v>
      </c>
      <c r="F67" s="13">
        <v>256</v>
      </c>
      <c r="G67" s="13" t="s">
        <v>40</v>
      </c>
      <c r="H67" s="13" t="s">
        <v>99</v>
      </c>
      <c r="I67" s="13">
        <f t="shared" ref="I67:I82" si="38">8*7*7</f>
        <v>392</v>
      </c>
      <c r="J67" s="13">
        <f t="shared" si="34"/>
        <v>213248</v>
      </c>
      <c r="K67" s="24">
        <f t="shared" si="35"/>
        <v>167086080</v>
      </c>
      <c r="L67" s="24"/>
      <c r="M67" s="8">
        <f t="shared" si="36"/>
        <v>1304576</v>
      </c>
      <c r="N67" s="8">
        <f t="shared" si="37"/>
        <v>326144</v>
      </c>
    </row>
    <row r="68" spans="2:14">
      <c r="B68" s="27" t="s">
        <v>86</v>
      </c>
      <c r="C68" s="13">
        <v>832</v>
      </c>
      <c r="D68" s="34" t="s">
        <v>40</v>
      </c>
      <c r="E68" s="34">
        <v>1</v>
      </c>
      <c r="F68" s="13">
        <v>160</v>
      </c>
      <c r="G68" s="13" t="s">
        <v>40</v>
      </c>
      <c r="H68" s="13" t="s">
        <v>99</v>
      </c>
      <c r="I68" s="13">
        <f t="shared" si="38"/>
        <v>392</v>
      </c>
      <c r="J68" s="13">
        <f t="shared" si="34"/>
        <v>133280</v>
      </c>
      <c r="K68" s="24">
        <f t="shared" si="35"/>
        <v>104428800</v>
      </c>
      <c r="L68" s="24"/>
      <c r="M68" s="8">
        <f t="shared" si="36"/>
        <v>401408</v>
      </c>
      <c r="N68" s="8">
        <f t="shared" si="37"/>
        <v>100352</v>
      </c>
    </row>
    <row r="69" spans="2:14">
      <c r="B69" s="27"/>
      <c r="C69" s="13">
        <v>160</v>
      </c>
      <c r="D69" s="34" t="s">
        <v>46</v>
      </c>
      <c r="E69" s="34">
        <v>27</v>
      </c>
      <c r="F69" s="13">
        <v>320</v>
      </c>
      <c r="G69" s="13" t="s">
        <v>40</v>
      </c>
      <c r="H69" s="13" t="s">
        <v>99</v>
      </c>
      <c r="I69" s="13">
        <f t="shared" si="38"/>
        <v>392</v>
      </c>
      <c r="J69" s="13">
        <f t="shared" si="34"/>
        <v>1382720</v>
      </c>
      <c r="K69" s="24">
        <f t="shared" si="35"/>
        <v>1083927040</v>
      </c>
      <c r="L69" s="24"/>
      <c r="M69" s="8">
        <f t="shared" si="36"/>
        <v>250880</v>
      </c>
      <c r="N69" s="8">
        <f t="shared" si="37"/>
        <v>62720</v>
      </c>
    </row>
    <row r="70" spans="2:14">
      <c r="B70" s="27" t="s">
        <v>87</v>
      </c>
      <c r="C70" s="13">
        <v>832</v>
      </c>
      <c r="D70" s="34" t="s">
        <v>40</v>
      </c>
      <c r="E70" s="34">
        <v>1</v>
      </c>
      <c r="F70" s="13">
        <v>32</v>
      </c>
      <c r="G70" s="13" t="s">
        <v>40</v>
      </c>
      <c r="H70" s="13" t="s">
        <v>99</v>
      </c>
      <c r="I70" s="13">
        <f t="shared" si="38"/>
        <v>392</v>
      </c>
      <c r="J70" s="13">
        <f t="shared" si="34"/>
        <v>26656</v>
      </c>
      <c r="K70" s="24">
        <f t="shared" si="35"/>
        <v>20885760</v>
      </c>
      <c r="L70" s="24"/>
      <c r="M70" s="8">
        <f t="shared" si="36"/>
        <v>501760</v>
      </c>
      <c r="N70" s="8">
        <f t="shared" si="37"/>
        <v>125440</v>
      </c>
    </row>
    <row r="71" spans="2:14">
      <c r="B71" s="27"/>
      <c r="C71" s="13">
        <v>32</v>
      </c>
      <c r="D71" s="34" t="s">
        <v>46</v>
      </c>
      <c r="E71" s="34">
        <v>27</v>
      </c>
      <c r="F71" s="13">
        <v>128</v>
      </c>
      <c r="G71" s="13" t="s">
        <v>40</v>
      </c>
      <c r="H71" s="13" t="s">
        <v>99</v>
      </c>
      <c r="I71" s="13">
        <f t="shared" si="38"/>
        <v>392</v>
      </c>
      <c r="J71" s="13">
        <f t="shared" si="34"/>
        <v>110720</v>
      </c>
      <c r="K71" s="24">
        <f t="shared" si="35"/>
        <v>86754304</v>
      </c>
      <c r="L71" s="24"/>
      <c r="M71" s="8">
        <f t="shared" si="36"/>
        <v>50176</v>
      </c>
      <c r="N71" s="8">
        <f t="shared" si="37"/>
        <v>12544</v>
      </c>
    </row>
    <row r="72" spans="2:14">
      <c r="B72" s="27" t="s">
        <v>88</v>
      </c>
      <c r="C72" s="13">
        <v>1</v>
      </c>
      <c r="D72" s="34" t="s">
        <v>46</v>
      </c>
      <c r="E72" s="34">
        <v>27</v>
      </c>
      <c r="F72" s="13">
        <v>832</v>
      </c>
      <c r="G72" s="13" t="s">
        <v>40</v>
      </c>
      <c r="H72" s="13" t="s">
        <v>99</v>
      </c>
      <c r="I72" s="13">
        <f t="shared" si="38"/>
        <v>392</v>
      </c>
      <c r="J72" s="13">
        <v>0</v>
      </c>
      <c r="K72" s="22">
        <v>0</v>
      </c>
      <c r="L72" s="24">
        <f>I72*E72*F72</f>
        <v>8805888</v>
      </c>
      <c r="M72" s="8">
        <v>0</v>
      </c>
      <c r="N72" s="8">
        <v>0</v>
      </c>
    </row>
    <row r="73" spans="2:14">
      <c r="B73" s="27"/>
      <c r="C73" s="13">
        <v>832</v>
      </c>
      <c r="D73" s="34" t="s">
        <v>40</v>
      </c>
      <c r="E73" s="34">
        <v>1</v>
      </c>
      <c r="F73" s="13">
        <v>128</v>
      </c>
      <c r="G73" s="13" t="s">
        <v>40</v>
      </c>
      <c r="H73" s="13" t="s">
        <v>99</v>
      </c>
      <c r="I73" s="13">
        <f t="shared" si="38"/>
        <v>392</v>
      </c>
      <c r="J73" s="13">
        <f t="shared" ref="J73:J79" si="39">C73*E73*F73+F73</f>
        <v>106624</v>
      </c>
      <c r="K73" s="24">
        <f t="shared" ref="K73:K79" si="40">I73*F73*(2*C73*E73+1)</f>
        <v>83543040</v>
      </c>
      <c r="L73" s="24"/>
      <c r="M73" s="8">
        <f t="shared" ref="M73:M79" si="41">4*I72*F72</f>
        <v>1304576</v>
      </c>
      <c r="N73" s="8">
        <f t="shared" ref="N73:N79" si="42">I72*F72</f>
        <v>326144</v>
      </c>
    </row>
    <row r="74" spans="2:14">
      <c r="B74" s="27" t="s">
        <v>89</v>
      </c>
      <c r="C74" s="13">
        <v>0</v>
      </c>
      <c r="F74" s="13">
        <v>832</v>
      </c>
      <c r="H74" s="13" t="s">
        <v>99</v>
      </c>
      <c r="I74" s="13">
        <f t="shared" si="38"/>
        <v>392</v>
      </c>
      <c r="J74" s="13">
        <f t="shared" si="39"/>
        <v>832</v>
      </c>
      <c r="K74" s="24">
        <f t="shared" si="40"/>
        <v>326144</v>
      </c>
      <c r="L74" s="24"/>
      <c r="M74" s="8">
        <f t="shared" si="41"/>
        <v>200704</v>
      </c>
      <c r="N74" s="8">
        <f t="shared" si="42"/>
        <v>50176</v>
      </c>
    </row>
    <row r="75" spans="1:14">
      <c r="A75" s="12" t="s">
        <v>101</v>
      </c>
      <c r="B75" s="28" t="s">
        <v>85</v>
      </c>
      <c r="C75" s="13">
        <v>832</v>
      </c>
      <c r="D75" s="34" t="s">
        <v>40</v>
      </c>
      <c r="E75" s="34">
        <v>1</v>
      </c>
      <c r="F75" s="13">
        <v>384</v>
      </c>
      <c r="G75" s="13" t="s">
        <v>40</v>
      </c>
      <c r="H75" s="13" t="s">
        <v>99</v>
      </c>
      <c r="I75" s="13">
        <f t="shared" si="38"/>
        <v>392</v>
      </c>
      <c r="J75" s="13">
        <f t="shared" si="39"/>
        <v>319872</v>
      </c>
      <c r="K75" s="24">
        <f t="shared" si="40"/>
        <v>250629120</v>
      </c>
      <c r="L75" s="24"/>
      <c r="M75" s="8">
        <f t="shared" si="41"/>
        <v>1304576</v>
      </c>
      <c r="N75" s="8">
        <f t="shared" si="42"/>
        <v>326144</v>
      </c>
    </row>
    <row r="76" spans="2:14">
      <c r="B76" s="28" t="s">
        <v>86</v>
      </c>
      <c r="C76" s="13">
        <v>832</v>
      </c>
      <c r="D76" s="34" t="s">
        <v>40</v>
      </c>
      <c r="E76" s="34">
        <v>1</v>
      </c>
      <c r="F76" s="13">
        <v>192</v>
      </c>
      <c r="G76" s="13" t="s">
        <v>40</v>
      </c>
      <c r="H76" s="13" t="s">
        <v>99</v>
      </c>
      <c r="I76" s="13">
        <f t="shared" si="38"/>
        <v>392</v>
      </c>
      <c r="J76" s="13">
        <f t="shared" si="39"/>
        <v>159936</v>
      </c>
      <c r="K76" s="24">
        <f t="shared" si="40"/>
        <v>125314560</v>
      </c>
      <c r="L76" s="24"/>
      <c r="M76" s="8">
        <f t="shared" si="41"/>
        <v>602112</v>
      </c>
      <c r="N76" s="8">
        <f t="shared" si="42"/>
        <v>150528</v>
      </c>
    </row>
    <row r="77" spans="2:14">
      <c r="B77" s="28"/>
      <c r="C77" s="13">
        <v>192</v>
      </c>
      <c r="D77" s="34" t="s">
        <v>46</v>
      </c>
      <c r="E77" s="34">
        <v>27</v>
      </c>
      <c r="F77" s="13">
        <v>384</v>
      </c>
      <c r="G77" s="13" t="s">
        <v>40</v>
      </c>
      <c r="H77" s="13" t="s">
        <v>99</v>
      </c>
      <c r="I77" s="13">
        <f t="shared" si="38"/>
        <v>392</v>
      </c>
      <c r="J77" s="13">
        <f t="shared" si="39"/>
        <v>1991040</v>
      </c>
      <c r="K77" s="24">
        <f t="shared" si="40"/>
        <v>1560824832</v>
      </c>
      <c r="L77" s="24"/>
      <c r="M77" s="8">
        <f t="shared" si="41"/>
        <v>301056</v>
      </c>
      <c r="N77" s="8">
        <f t="shared" si="42"/>
        <v>75264</v>
      </c>
    </row>
    <row r="78" spans="2:14">
      <c r="B78" s="28" t="s">
        <v>87</v>
      </c>
      <c r="C78" s="13">
        <v>832</v>
      </c>
      <c r="D78" s="34" t="s">
        <v>40</v>
      </c>
      <c r="E78" s="34">
        <v>1</v>
      </c>
      <c r="F78" s="13">
        <v>48</v>
      </c>
      <c r="G78" s="13" t="s">
        <v>40</v>
      </c>
      <c r="H78" s="13" t="s">
        <v>99</v>
      </c>
      <c r="I78" s="13">
        <f t="shared" si="38"/>
        <v>392</v>
      </c>
      <c r="J78" s="13">
        <f t="shared" si="39"/>
        <v>39984</v>
      </c>
      <c r="K78" s="24">
        <f t="shared" si="40"/>
        <v>31328640</v>
      </c>
      <c r="L78" s="24"/>
      <c r="M78" s="8">
        <f t="shared" si="41"/>
        <v>602112</v>
      </c>
      <c r="N78" s="8">
        <f t="shared" si="42"/>
        <v>150528</v>
      </c>
    </row>
    <row r="79" spans="2:14">
      <c r="B79" s="28"/>
      <c r="C79" s="13">
        <v>48</v>
      </c>
      <c r="D79" s="34" t="s">
        <v>46</v>
      </c>
      <c r="E79" s="34">
        <v>27</v>
      </c>
      <c r="F79" s="13">
        <v>128</v>
      </c>
      <c r="G79" s="13" t="s">
        <v>40</v>
      </c>
      <c r="H79" s="13" t="s">
        <v>99</v>
      </c>
      <c r="I79" s="13">
        <f t="shared" si="38"/>
        <v>392</v>
      </c>
      <c r="J79" s="13">
        <f t="shared" si="39"/>
        <v>166016</v>
      </c>
      <c r="K79" s="24">
        <f t="shared" si="40"/>
        <v>130106368</v>
      </c>
      <c r="L79" s="24"/>
      <c r="M79" s="8">
        <f t="shared" si="41"/>
        <v>75264</v>
      </c>
      <c r="N79" s="8">
        <f t="shared" si="42"/>
        <v>18816</v>
      </c>
    </row>
    <row r="80" spans="2:14">
      <c r="B80" s="28" t="s">
        <v>88</v>
      </c>
      <c r="C80" s="13">
        <v>1</v>
      </c>
      <c r="D80" s="34" t="s">
        <v>46</v>
      </c>
      <c r="E80" s="34">
        <v>27</v>
      </c>
      <c r="F80" s="13">
        <v>832</v>
      </c>
      <c r="G80" s="13" t="s">
        <v>40</v>
      </c>
      <c r="H80" s="13" t="s">
        <v>99</v>
      </c>
      <c r="I80" s="13">
        <f t="shared" si="38"/>
        <v>392</v>
      </c>
      <c r="J80" s="13">
        <v>0</v>
      </c>
      <c r="K80" s="22">
        <v>0</v>
      </c>
      <c r="L80" s="24">
        <f t="shared" ref="L80:L85" si="43">I80*E80*F80</f>
        <v>8805888</v>
      </c>
      <c r="M80" s="8">
        <v>0</v>
      </c>
      <c r="N80" s="8">
        <v>0</v>
      </c>
    </row>
    <row r="81" spans="2:14">
      <c r="B81" s="28"/>
      <c r="C81" s="13">
        <v>832</v>
      </c>
      <c r="D81" s="34" t="s">
        <v>40</v>
      </c>
      <c r="E81" s="34">
        <v>1</v>
      </c>
      <c r="F81" s="13">
        <v>128</v>
      </c>
      <c r="G81" s="13" t="s">
        <v>40</v>
      </c>
      <c r="H81" s="13" t="s">
        <v>99</v>
      </c>
      <c r="I81" s="13">
        <f t="shared" si="38"/>
        <v>392</v>
      </c>
      <c r="J81" s="13">
        <f t="shared" ref="J81:J84" si="44">C81*E81*F81+F81</f>
        <v>106624</v>
      </c>
      <c r="K81" s="24">
        <f t="shared" ref="K81:K84" si="45">I81*F81*(2*C81*E81+1)</f>
        <v>83543040</v>
      </c>
      <c r="L81" s="24"/>
      <c r="M81" s="8">
        <f t="shared" ref="M81:M84" si="46">4*I80*F80</f>
        <v>1304576</v>
      </c>
      <c r="N81" s="8">
        <f>I80*F80</f>
        <v>326144</v>
      </c>
    </row>
    <row r="82" spans="2:14">
      <c r="B82" s="28" t="s">
        <v>89</v>
      </c>
      <c r="C82" s="13">
        <v>0</v>
      </c>
      <c r="F82" s="13">
        <v>1024</v>
      </c>
      <c r="H82" s="13" t="s">
        <v>99</v>
      </c>
      <c r="I82" s="13">
        <f t="shared" si="38"/>
        <v>392</v>
      </c>
      <c r="J82" s="13">
        <f t="shared" si="44"/>
        <v>1024</v>
      </c>
      <c r="K82" s="24">
        <f t="shared" si="45"/>
        <v>401408</v>
      </c>
      <c r="L82" s="24"/>
      <c r="M82" s="8">
        <f t="shared" si="46"/>
        <v>200704</v>
      </c>
      <c r="N82" s="8">
        <f>I81*F81</f>
        <v>50176</v>
      </c>
    </row>
    <row r="83" spans="1:14">
      <c r="A83" s="12" t="s">
        <v>102</v>
      </c>
      <c r="C83" s="13">
        <v>1</v>
      </c>
      <c r="D83" s="34" t="s">
        <v>60</v>
      </c>
      <c r="E83" s="34">
        <v>98</v>
      </c>
      <c r="F83" s="13">
        <v>1024</v>
      </c>
      <c r="G83" s="13" t="s">
        <v>40</v>
      </c>
      <c r="H83" s="13" t="s">
        <v>103</v>
      </c>
      <c r="I83" s="13">
        <v>4</v>
      </c>
      <c r="J83" s="13">
        <v>0</v>
      </c>
      <c r="K83" s="22">
        <v>0</v>
      </c>
      <c r="L83" s="24">
        <f t="shared" si="43"/>
        <v>401408</v>
      </c>
      <c r="M83" s="8">
        <v>0</v>
      </c>
      <c r="N83" s="8">
        <v>0</v>
      </c>
    </row>
    <row r="84" spans="1:14">
      <c r="A84" s="12" t="s">
        <v>104</v>
      </c>
      <c r="C84" s="13">
        <v>1024</v>
      </c>
      <c r="D84" s="34" t="s">
        <v>40</v>
      </c>
      <c r="E84" s="34">
        <v>1</v>
      </c>
      <c r="F84" s="13">
        <v>16</v>
      </c>
      <c r="G84" s="13" t="s">
        <v>40</v>
      </c>
      <c r="H84" s="13" t="s">
        <v>103</v>
      </c>
      <c r="I84" s="13">
        <v>4</v>
      </c>
      <c r="J84" s="13">
        <f t="shared" si="44"/>
        <v>16400</v>
      </c>
      <c r="K84" s="24">
        <f t="shared" si="45"/>
        <v>131136</v>
      </c>
      <c r="L84" s="24"/>
      <c r="M84" s="8">
        <v>0</v>
      </c>
      <c r="N84" s="8">
        <f>4*I84</f>
        <v>16</v>
      </c>
    </row>
    <row r="85" spans="1:14">
      <c r="A85" s="12" t="s">
        <v>105</v>
      </c>
      <c r="C85" s="13">
        <v>1</v>
      </c>
      <c r="F85" s="13">
        <v>16</v>
      </c>
      <c r="H85" s="13">
        <v>1</v>
      </c>
      <c r="I85" s="13">
        <v>1</v>
      </c>
      <c r="J85" s="13">
        <v>0</v>
      </c>
      <c r="K85" s="22">
        <v>0</v>
      </c>
      <c r="L85" s="24">
        <f t="shared" si="43"/>
        <v>0</v>
      </c>
      <c r="M85" s="8">
        <v>0</v>
      </c>
      <c r="N85" s="8">
        <v>0</v>
      </c>
    </row>
    <row r="86" spans="3:15">
      <c r="C86" s="29"/>
      <c r="I86" s="13" t="s">
        <v>106</v>
      </c>
      <c r="J86" s="13">
        <f>SUM(J4:J85)</f>
        <v>12299312</v>
      </c>
      <c r="K86" s="35">
        <f>SUM(K4:K85)</f>
        <v>222401958336</v>
      </c>
      <c r="L86" s="35">
        <f>SUM(L4:L85)</f>
        <v>681289728</v>
      </c>
      <c r="M86" s="35">
        <f>SUM(M4:M85)</f>
        <v>381713920</v>
      </c>
      <c r="N86" s="35">
        <f>SUM(N4:N85)</f>
        <v>66828176</v>
      </c>
      <c r="O86" s="36">
        <f>SUM(K86:N86)</f>
        <v>223531790160</v>
      </c>
    </row>
    <row r="87" s="34" customFormat="1" spans="3:15">
      <c r="C87" s="13"/>
      <c r="F87" s="13"/>
      <c r="G87" s="13"/>
      <c r="H87" s="13"/>
      <c r="I87" s="13"/>
      <c r="J87" s="13"/>
      <c r="K87" s="22"/>
      <c r="L87" s="22"/>
      <c r="M87" s="22"/>
      <c r="N87" s="22"/>
      <c r="O87" s="22"/>
    </row>
    <row r="88" spans="13:15">
      <c r="M88" s="22"/>
      <c r="N88" s="22"/>
      <c r="O88" s="22"/>
    </row>
  </sheetData>
  <mergeCells count="36">
    <mergeCell ref="A9:A16"/>
    <mergeCell ref="A17:A24"/>
    <mergeCell ref="A26:A33"/>
    <mergeCell ref="A34:A41"/>
    <mergeCell ref="A42:A49"/>
    <mergeCell ref="A50:A57"/>
    <mergeCell ref="A58:A65"/>
    <mergeCell ref="A67:A74"/>
    <mergeCell ref="A75:A82"/>
    <mergeCell ref="B10:B11"/>
    <mergeCell ref="B12:B13"/>
    <mergeCell ref="B14:B15"/>
    <mergeCell ref="B18:B19"/>
    <mergeCell ref="B20:B21"/>
    <mergeCell ref="B22:B23"/>
    <mergeCell ref="B27:B28"/>
    <mergeCell ref="B29:B30"/>
    <mergeCell ref="B31:B32"/>
    <mergeCell ref="B35:B36"/>
    <mergeCell ref="B37:B38"/>
    <mergeCell ref="B39:B40"/>
    <mergeCell ref="B43:B44"/>
    <mergeCell ref="B45:B46"/>
    <mergeCell ref="B47:B48"/>
    <mergeCell ref="B51:B52"/>
    <mergeCell ref="B53:B54"/>
    <mergeCell ref="B55:B56"/>
    <mergeCell ref="B59:B60"/>
    <mergeCell ref="B61:B62"/>
    <mergeCell ref="B63:B64"/>
    <mergeCell ref="B68:B69"/>
    <mergeCell ref="B70:B71"/>
    <mergeCell ref="B72:B73"/>
    <mergeCell ref="B76:B77"/>
    <mergeCell ref="B78:B79"/>
    <mergeCell ref="B80:B8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7"/>
  <sheetViews>
    <sheetView zoomScale="90" zoomScaleNormal="90" workbookViewId="0">
      <selection activeCell="L8" sqref="L8"/>
    </sheetView>
  </sheetViews>
  <sheetFormatPr defaultColWidth="9" defaultRowHeight="14.4"/>
  <cols>
    <col min="1" max="1" width="13.75" customWidth="1"/>
    <col min="2" max="2" width="11.5" customWidth="1"/>
    <col min="3" max="3" width="16" style="9" customWidth="1"/>
    <col min="4" max="4" width="7" style="9" customWidth="1"/>
    <col min="5" max="5" width="13.75" style="9" customWidth="1"/>
    <col min="6" max="6" width="17.1296296296296" style="9" customWidth="1"/>
    <col min="7" max="7" width="8.37962962962963" style="9" customWidth="1"/>
    <col min="8" max="8" width="11.5" style="9" customWidth="1"/>
    <col min="9" max="10" width="18.25" style="9" customWidth="1"/>
    <col min="11" max="11" width="11.5" style="10" customWidth="1"/>
    <col min="12" max="12" width="14.8796296296296" style="10" customWidth="1"/>
    <col min="13" max="13" width="12.5" style="10" customWidth="1"/>
    <col min="14" max="14" width="11.5" style="10" customWidth="1"/>
    <col min="15" max="15" width="12.6296296296296" style="10" customWidth="1"/>
    <col min="16" max="16" width="12.8796296296296" style="11" customWidth="1"/>
    <col min="17" max="17" width="53.8796296296296" customWidth="1"/>
    <col min="18" max="19" width="10.8796296296296" customWidth="1"/>
    <col min="20" max="20" width="10.3796296296296" customWidth="1"/>
    <col min="21" max="21" width="12.6296296296296" customWidth="1"/>
    <col min="22" max="22" width="14.3796296296296" customWidth="1"/>
    <col min="23" max="23" width="13.5" customWidth="1"/>
  </cols>
  <sheetData>
    <row r="1" ht="15" spans="1:17">
      <c r="A1" s="12" t="s">
        <v>9</v>
      </c>
      <c r="B1" s="12" t="s">
        <v>10</v>
      </c>
      <c r="C1" s="3" t="s">
        <v>11</v>
      </c>
      <c r="D1" s="13" t="s">
        <v>12</v>
      </c>
      <c r="E1" s="13" t="s">
        <v>13</v>
      </c>
      <c r="F1" s="3" t="s">
        <v>14</v>
      </c>
      <c r="G1" s="13" t="s">
        <v>15</v>
      </c>
      <c r="H1" s="3" t="s">
        <v>16</v>
      </c>
      <c r="I1" s="3" t="s">
        <v>17</v>
      </c>
      <c r="J1" s="3" t="s">
        <v>1</v>
      </c>
      <c r="K1" s="21" t="s">
        <v>18</v>
      </c>
      <c r="L1" s="21" t="s">
        <v>19</v>
      </c>
      <c r="M1" s="21" t="s">
        <v>71</v>
      </c>
      <c r="N1" s="22" t="s">
        <v>21</v>
      </c>
      <c r="O1" s="21" t="s">
        <v>22</v>
      </c>
      <c r="Q1" s="25"/>
    </row>
    <row r="2" ht="15" spans="1:17">
      <c r="A2" s="12" t="s">
        <v>23</v>
      </c>
      <c r="B2" s="12" t="s">
        <v>24</v>
      </c>
      <c r="C2" s="13" t="s">
        <v>25</v>
      </c>
      <c r="D2" s="13" t="s">
        <v>26</v>
      </c>
      <c r="E2" s="13" t="s">
        <v>27</v>
      </c>
      <c r="F2" s="13" t="s">
        <v>28</v>
      </c>
      <c r="G2" s="13" t="s">
        <v>29</v>
      </c>
      <c r="H2" s="13" t="s">
        <v>30</v>
      </c>
      <c r="I2" s="13" t="s">
        <v>31</v>
      </c>
      <c r="J2" s="13" t="s">
        <v>32</v>
      </c>
      <c r="K2" s="22" t="s">
        <v>33</v>
      </c>
      <c r="L2" s="22" t="s">
        <v>34</v>
      </c>
      <c r="M2" s="22" t="s">
        <v>72</v>
      </c>
      <c r="N2" s="22" t="s">
        <v>21</v>
      </c>
      <c r="O2" s="22" t="s">
        <v>35</v>
      </c>
      <c r="P2" s="23"/>
      <c r="Q2" s="25"/>
    </row>
    <row r="3" spans="1:23">
      <c r="A3" s="12" t="s">
        <v>36</v>
      </c>
      <c r="B3" s="12"/>
      <c r="C3" s="13"/>
      <c r="D3" s="13"/>
      <c r="E3" s="13"/>
      <c r="F3" s="14">
        <v>2</v>
      </c>
      <c r="G3" s="13"/>
      <c r="H3" s="13" t="s">
        <v>73</v>
      </c>
      <c r="I3" s="13">
        <f>64*224*224</f>
        <v>3211264</v>
      </c>
      <c r="J3" s="13"/>
      <c r="K3" s="22"/>
      <c r="L3" s="22"/>
      <c r="M3" s="22"/>
      <c r="N3" s="22"/>
      <c r="O3" s="22"/>
      <c r="P3" s="5"/>
      <c r="Q3" s="26"/>
      <c r="R3" s="26"/>
      <c r="S3" s="26"/>
      <c r="T3" s="26"/>
      <c r="U3" s="26"/>
      <c r="V3" s="26"/>
      <c r="W3" s="26"/>
    </row>
    <row r="4" spans="1:21">
      <c r="A4" s="12" t="s">
        <v>74</v>
      </c>
      <c r="B4" s="12"/>
      <c r="C4" s="14">
        <v>2</v>
      </c>
      <c r="D4" s="13" t="s">
        <v>75</v>
      </c>
      <c r="E4" s="13">
        <f>7*7*7</f>
        <v>343</v>
      </c>
      <c r="F4" s="13">
        <v>64</v>
      </c>
      <c r="G4" s="13" t="s">
        <v>49</v>
      </c>
      <c r="H4" s="13" t="s">
        <v>76</v>
      </c>
      <c r="I4" s="13">
        <f>32*112*112</f>
        <v>401408</v>
      </c>
      <c r="J4" s="13">
        <f t="shared" ref="J4:J7" si="0">C4*E4*F4+F4</f>
        <v>43968</v>
      </c>
      <c r="K4" s="24">
        <f t="shared" ref="K4:K7" si="1">I4*F4*(2*C4*E4+1)</f>
        <v>35272523776</v>
      </c>
      <c r="L4" s="24"/>
      <c r="M4" s="8">
        <f>4*I3*F3</f>
        <v>25690112</v>
      </c>
      <c r="N4" s="22">
        <f t="shared" ref="N4:N7" si="2">I3*F3</f>
        <v>6422528</v>
      </c>
      <c r="O4" s="22"/>
      <c r="P4" s="5"/>
      <c r="Q4" s="26"/>
      <c r="R4" s="26"/>
      <c r="S4" s="26"/>
      <c r="T4" s="26"/>
      <c r="U4" s="26"/>
    </row>
    <row r="5" spans="1:24">
      <c r="A5" s="12" t="s">
        <v>77</v>
      </c>
      <c r="B5" s="12"/>
      <c r="C5" s="13">
        <v>1</v>
      </c>
      <c r="D5" s="13" t="s">
        <v>78</v>
      </c>
      <c r="E5" s="13">
        <v>9</v>
      </c>
      <c r="F5" s="13">
        <v>64</v>
      </c>
      <c r="G5" s="13" t="s">
        <v>43</v>
      </c>
      <c r="H5" s="13" t="s">
        <v>79</v>
      </c>
      <c r="I5" s="13">
        <f t="shared" ref="I5:I7" si="3">32*56*56</f>
        <v>100352</v>
      </c>
      <c r="J5" s="13">
        <v>0</v>
      </c>
      <c r="K5" s="22">
        <v>0</v>
      </c>
      <c r="L5" s="24">
        <f>I5*E5*F5</f>
        <v>57802752</v>
      </c>
      <c r="M5" s="22">
        <v>0</v>
      </c>
      <c r="N5" s="22">
        <v>0</v>
      </c>
      <c r="O5" s="22"/>
      <c r="P5" s="5"/>
      <c r="Q5" s="26"/>
      <c r="R5" s="26"/>
      <c r="S5" s="26"/>
      <c r="T5" s="26"/>
      <c r="U5" s="26"/>
      <c r="X5" s="26"/>
    </row>
    <row r="6" spans="1:24">
      <c r="A6" s="12" t="s">
        <v>80</v>
      </c>
      <c r="B6" s="12"/>
      <c r="C6" s="13">
        <v>64</v>
      </c>
      <c r="D6" s="13" t="s">
        <v>40</v>
      </c>
      <c r="E6" s="13">
        <v>1</v>
      </c>
      <c r="F6" s="13">
        <v>64</v>
      </c>
      <c r="G6" s="13" t="s">
        <v>40</v>
      </c>
      <c r="H6" s="13" t="s">
        <v>79</v>
      </c>
      <c r="I6" s="13">
        <f t="shared" si="3"/>
        <v>100352</v>
      </c>
      <c r="J6" s="13">
        <f t="shared" si="0"/>
        <v>4160</v>
      </c>
      <c r="K6" s="24">
        <f t="shared" si="1"/>
        <v>828506112</v>
      </c>
      <c r="L6" s="24"/>
      <c r="M6" s="8">
        <f t="shared" ref="M4:M7" si="4">4*I5*F5</f>
        <v>25690112</v>
      </c>
      <c r="N6" s="22">
        <f t="shared" si="2"/>
        <v>6422528</v>
      </c>
      <c r="O6" s="22"/>
      <c r="P6" s="5"/>
      <c r="Q6" s="26"/>
      <c r="R6" s="26"/>
      <c r="S6" s="26"/>
      <c r="T6" s="26"/>
      <c r="U6" s="26"/>
      <c r="X6" s="26"/>
    </row>
    <row r="7" spans="1:24">
      <c r="A7" s="12" t="s">
        <v>81</v>
      </c>
      <c r="B7" s="12"/>
      <c r="C7" s="13">
        <v>64</v>
      </c>
      <c r="D7" s="13" t="s">
        <v>46</v>
      </c>
      <c r="E7" s="13">
        <v>27</v>
      </c>
      <c r="F7" s="13">
        <v>192</v>
      </c>
      <c r="G7" s="13" t="s">
        <v>40</v>
      </c>
      <c r="H7" s="13" t="s">
        <v>79</v>
      </c>
      <c r="I7" s="13">
        <f t="shared" si="3"/>
        <v>100352</v>
      </c>
      <c r="J7" s="13">
        <f t="shared" si="0"/>
        <v>331968</v>
      </c>
      <c r="K7" s="24">
        <f t="shared" si="1"/>
        <v>66608037888</v>
      </c>
      <c r="L7" s="24"/>
      <c r="M7" s="8">
        <f t="shared" si="4"/>
        <v>25690112</v>
      </c>
      <c r="N7" s="22">
        <f t="shared" si="2"/>
        <v>6422528</v>
      </c>
      <c r="O7" s="22"/>
      <c r="P7" s="5"/>
      <c r="Q7" s="26"/>
      <c r="R7" s="26"/>
      <c r="S7" s="26"/>
      <c r="T7" s="26"/>
      <c r="U7" s="26"/>
      <c r="X7" s="26"/>
    </row>
    <row r="8" spans="1:24">
      <c r="A8" s="12" t="s">
        <v>82</v>
      </c>
      <c r="B8" s="12"/>
      <c r="C8" s="13">
        <v>1</v>
      </c>
      <c r="D8" s="13" t="s">
        <v>78</v>
      </c>
      <c r="E8" s="13">
        <v>9</v>
      </c>
      <c r="F8" s="13">
        <v>192</v>
      </c>
      <c r="G8" s="13" t="s">
        <v>43</v>
      </c>
      <c r="H8" s="13" t="s">
        <v>83</v>
      </c>
      <c r="I8" s="13">
        <f t="shared" ref="I8:I24" si="5">32*28*28</f>
        <v>25088</v>
      </c>
      <c r="J8" s="13">
        <v>0</v>
      </c>
      <c r="K8" s="22">
        <v>0</v>
      </c>
      <c r="L8" s="24">
        <f>I8*E8*F8</f>
        <v>43352064</v>
      </c>
      <c r="M8" s="22">
        <v>0</v>
      </c>
      <c r="N8" s="22">
        <v>0</v>
      </c>
      <c r="O8" s="22"/>
      <c r="P8" s="5"/>
      <c r="Q8" s="26"/>
      <c r="R8" s="26"/>
      <c r="S8" s="26"/>
      <c r="T8" s="26"/>
      <c r="U8" s="26"/>
      <c r="X8" s="26"/>
    </row>
    <row r="9" spans="1:24">
      <c r="A9" s="12" t="s">
        <v>84</v>
      </c>
      <c r="B9" s="8" t="s">
        <v>85</v>
      </c>
      <c r="C9" s="13">
        <v>192</v>
      </c>
      <c r="D9" s="13" t="s">
        <v>40</v>
      </c>
      <c r="E9" s="13">
        <v>1</v>
      </c>
      <c r="F9" s="13">
        <v>64</v>
      </c>
      <c r="G9" s="13" t="s">
        <v>40</v>
      </c>
      <c r="H9" s="13" t="s">
        <v>83</v>
      </c>
      <c r="I9" s="13">
        <f t="shared" si="5"/>
        <v>25088</v>
      </c>
      <c r="J9" s="13">
        <f t="shared" ref="J9:J13" si="6">C9*E9*F9+F9</f>
        <v>12352</v>
      </c>
      <c r="K9" s="24">
        <f t="shared" ref="K9:K13" si="7">I9*F9*(2*C9*E9+1)</f>
        <v>618168320</v>
      </c>
      <c r="L9" s="24"/>
      <c r="M9" s="8">
        <f t="shared" ref="M9:M13" si="8">4*I8*F8</f>
        <v>19267584</v>
      </c>
      <c r="N9" s="22">
        <f t="shared" ref="N9:N13" si="9">I8*F8</f>
        <v>4816896</v>
      </c>
      <c r="O9" s="22"/>
      <c r="P9" s="5"/>
      <c r="Q9" s="26"/>
      <c r="R9" s="26"/>
      <c r="S9" s="26"/>
      <c r="T9" s="26"/>
      <c r="U9" s="26"/>
      <c r="X9" s="26"/>
    </row>
    <row r="10" spans="1:24">
      <c r="A10" s="12"/>
      <c r="B10" s="8" t="s">
        <v>86</v>
      </c>
      <c r="C10" s="13">
        <v>192</v>
      </c>
      <c r="D10" s="13" t="s">
        <v>40</v>
      </c>
      <c r="E10" s="13">
        <v>1</v>
      </c>
      <c r="F10" s="13">
        <v>96</v>
      </c>
      <c r="G10" s="13" t="s">
        <v>40</v>
      </c>
      <c r="H10" s="13" t="s">
        <v>83</v>
      </c>
      <c r="I10" s="13">
        <f t="shared" si="5"/>
        <v>25088</v>
      </c>
      <c r="J10" s="13">
        <f t="shared" si="6"/>
        <v>18528</v>
      </c>
      <c r="K10" s="24">
        <f t="shared" si="7"/>
        <v>927252480</v>
      </c>
      <c r="L10" s="24"/>
      <c r="M10" s="8">
        <f t="shared" si="8"/>
        <v>6422528</v>
      </c>
      <c r="N10" s="22">
        <f t="shared" si="9"/>
        <v>1605632</v>
      </c>
      <c r="O10" s="22"/>
      <c r="P10" s="5"/>
      <c r="Q10" s="26"/>
      <c r="R10" s="26"/>
      <c r="S10" s="26"/>
      <c r="T10" s="26"/>
      <c r="U10" s="26"/>
      <c r="X10" s="26"/>
    </row>
    <row r="11" spans="1:24">
      <c r="A11" s="12"/>
      <c r="B11" s="8"/>
      <c r="C11" s="13">
        <v>96</v>
      </c>
      <c r="D11" s="13" t="s">
        <v>46</v>
      </c>
      <c r="E11" s="13">
        <v>27</v>
      </c>
      <c r="F11" s="13">
        <v>128</v>
      </c>
      <c r="G11" s="13" t="s">
        <v>40</v>
      </c>
      <c r="H11" s="13" t="s">
        <v>83</v>
      </c>
      <c r="I11" s="13">
        <f t="shared" si="5"/>
        <v>25088</v>
      </c>
      <c r="J11" s="13">
        <f t="shared" si="6"/>
        <v>331904</v>
      </c>
      <c r="K11" s="24">
        <f t="shared" si="7"/>
        <v>16650403840</v>
      </c>
      <c r="L11" s="24"/>
      <c r="M11" s="8">
        <f t="shared" si="8"/>
        <v>9633792</v>
      </c>
      <c r="N11" s="22">
        <f t="shared" si="9"/>
        <v>2408448</v>
      </c>
      <c r="O11" s="22"/>
      <c r="P11" s="5"/>
      <c r="Q11" s="26"/>
      <c r="R11" s="26"/>
      <c r="S11" s="26"/>
      <c r="T11" s="26"/>
      <c r="U11" s="26"/>
      <c r="X11" s="26"/>
    </row>
    <row r="12" spans="1:24">
      <c r="A12" s="12"/>
      <c r="B12" s="8" t="s">
        <v>87</v>
      </c>
      <c r="C12" s="13">
        <v>192</v>
      </c>
      <c r="D12" s="13" t="s">
        <v>40</v>
      </c>
      <c r="E12" s="13">
        <v>1</v>
      </c>
      <c r="F12" s="13">
        <v>16</v>
      </c>
      <c r="G12" s="13" t="s">
        <v>40</v>
      </c>
      <c r="H12" s="13" t="s">
        <v>83</v>
      </c>
      <c r="I12" s="13">
        <f t="shared" si="5"/>
        <v>25088</v>
      </c>
      <c r="J12" s="13">
        <f t="shared" si="6"/>
        <v>3088</v>
      </c>
      <c r="K12" s="24">
        <f t="shared" si="7"/>
        <v>154542080</v>
      </c>
      <c r="L12" s="24"/>
      <c r="M12" s="8">
        <f t="shared" si="8"/>
        <v>12845056</v>
      </c>
      <c r="N12" s="22">
        <f t="shared" si="9"/>
        <v>3211264</v>
      </c>
      <c r="O12" s="22"/>
      <c r="P12" s="5"/>
      <c r="Q12" s="26"/>
      <c r="R12" s="26"/>
      <c r="S12" s="26"/>
      <c r="T12" s="26"/>
      <c r="U12" s="26"/>
      <c r="X12" s="26"/>
    </row>
    <row r="13" spans="1:24">
      <c r="A13" s="12"/>
      <c r="B13" s="8"/>
      <c r="C13" s="13">
        <v>16</v>
      </c>
      <c r="D13" s="13" t="s">
        <v>46</v>
      </c>
      <c r="E13" s="13">
        <v>27</v>
      </c>
      <c r="F13" s="13">
        <v>32</v>
      </c>
      <c r="G13" s="13" t="s">
        <v>40</v>
      </c>
      <c r="H13" s="13" t="s">
        <v>83</v>
      </c>
      <c r="I13" s="13">
        <f t="shared" si="5"/>
        <v>25088</v>
      </c>
      <c r="J13" s="13">
        <f t="shared" si="6"/>
        <v>13856</v>
      </c>
      <c r="K13" s="24">
        <f t="shared" si="7"/>
        <v>694435840</v>
      </c>
      <c r="L13" s="24"/>
      <c r="M13" s="8">
        <f t="shared" si="8"/>
        <v>1605632</v>
      </c>
      <c r="N13" s="22">
        <f t="shared" si="9"/>
        <v>401408</v>
      </c>
      <c r="O13" s="22"/>
      <c r="P13" s="5"/>
      <c r="Q13" s="26"/>
      <c r="R13" s="26"/>
      <c r="S13" s="26"/>
      <c r="T13" s="26"/>
      <c r="U13" s="26"/>
      <c r="X13" s="26"/>
    </row>
    <row r="14" spans="1:24">
      <c r="A14" s="12"/>
      <c r="B14" s="8" t="s">
        <v>88</v>
      </c>
      <c r="C14" s="13">
        <v>1</v>
      </c>
      <c r="D14" s="13" t="s">
        <v>46</v>
      </c>
      <c r="E14" s="13">
        <v>27</v>
      </c>
      <c r="F14" s="13">
        <v>192</v>
      </c>
      <c r="G14" s="13" t="s">
        <v>40</v>
      </c>
      <c r="H14" s="13" t="s">
        <v>83</v>
      </c>
      <c r="I14" s="13">
        <f t="shared" si="5"/>
        <v>25088</v>
      </c>
      <c r="J14" s="13">
        <v>0</v>
      </c>
      <c r="K14" s="22">
        <v>0</v>
      </c>
      <c r="L14" s="24">
        <f>I14*E14*F14</f>
        <v>130056192</v>
      </c>
      <c r="M14" s="22">
        <v>0</v>
      </c>
      <c r="N14" s="22">
        <v>0</v>
      </c>
      <c r="O14" s="22"/>
      <c r="P14" s="5"/>
      <c r="Q14" s="26"/>
      <c r="R14" s="26"/>
      <c r="S14" s="26"/>
      <c r="T14" s="26"/>
      <c r="U14" s="26"/>
      <c r="X14" s="26"/>
    </row>
    <row r="15" spans="1:24">
      <c r="A15" s="12"/>
      <c r="B15" s="8"/>
      <c r="C15" s="13">
        <v>192</v>
      </c>
      <c r="D15" s="13" t="s">
        <v>40</v>
      </c>
      <c r="E15" s="13">
        <v>1</v>
      </c>
      <c r="F15" s="13">
        <v>32</v>
      </c>
      <c r="G15" s="13" t="s">
        <v>40</v>
      </c>
      <c r="H15" s="13" t="s">
        <v>83</v>
      </c>
      <c r="I15" s="13">
        <f t="shared" si="5"/>
        <v>25088</v>
      </c>
      <c r="J15" s="13">
        <f t="shared" ref="J15:J21" si="10">C15*E15*F15+F15</f>
        <v>6176</v>
      </c>
      <c r="K15" s="24">
        <f t="shared" ref="K15:K21" si="11">I15*F15*(2*C15*E15+1)</f>
        <v>309084160</v>
      </c>
      <c r="L15" s="24"/>
      <c r="M15" s="8">
        <f t="shared" ref="M15:M21" si="12">4*I14*F14</f>
        <v>19267584</v>
      </c>
      <c r="N15" s="22">
        <f t="shared" ref="N15:N21" si="13">I14*F14</f>
        <v>4816896</v>
      </c>
      <c r="O15" s="22"/>
      <c r="P15" s="5"/>
      <c r="Q15" s="26"/>
      <c r="R15" s="26"/>
      <c r="S15" s="26"/>
      <c r="T15" s="26"/>
      <c r="U15" s="26"/>
      <c r="X15" s="26"/>
    </row>
    <row r="16" spans="1:24">
      <c r="A16" s="12"/>
      <c r="B16" s="8" t="s">
        <v>89</v>
      </c>
      <c r="C16" s="13">
        <v>0</v>
      </c>
      <c r="D16" s="13"/>
      <c r="E16" s="13"/>
      <c r="F16" s="13">
        <v>256</v>
      </c>
      <c r="G16" s="13"/>
      <c r="H16" s="13" t="s">
        <v>83</v>
      </c>
      <c r="I16" s="13">
        <f t="shared" si="5"/>
        <v>25088</v>
      </c>
      <c r="J16" s="13">
        <f t="shared" si="10"/>
        <v>256</v>
      </c>
      <c r="K16" s="24">
        <f t="shared" si="11"/>
        <v>6422528</v>
      </c>
      <c r="L16" s="24"/>
      <c r="M16" s="8">
        <f t="shared" si="12"/>
        <v>3211264</v>
      </c>
      <c r="N16" s="22">
        <f t="shared" si="13"/>
        <v>802816</v>
      </c>
      <c r="O16" s="22"/>
      <c r="P16" s="5"/>
      <c r="Q16" s="26"/>
      <c r="R16" s="26"/>
      <c r="S16" s="26"/>
      <c r="T16" s="26"/>
      <c r="U16" s="26"/>
      <c r="X16" s="26"/>
    </row>
    <row r="17" spans="1:24">
      <c r="A17" s="12" t="s">
        <v>90</v>
      </c>
      <c r="B17" s="15" t="s">
        <v>85</v>
      </c>
      <c r="C17" s="13">
        <v>256</v>
      </c>
      <c r="D17" s="13" t="s">
        <v>40</v>
      </c>
      <c r="E17" s="13">
        <v>1</v>
      </c>
      <c r="F17" s="13">
        <v>128</v>
      </c>
      <c r="G17" s="13" t="s">
        <v>40</v>
      </c>
      <c r="H17" s="13" t="s">
        <v>83</v>
      </c>
      <c r="I17" s="13">
        <f t="shared" si="5"/>
        <v>25088</v>
      </c>
      <c r="J17" s="13">
        <f t="shared" si="10"/>
        <v>32896</v>
      </c>
      <c r="K17" s="24">
        <f t="shared" si="11"/>
        <v>1647378432</v>
      </c>
      <c r="L17" s="24"/>
      <c r="M17" s="8">
        <f t="shared" si="12"/>
        <v>25690112</v>
      </c>
      <c r="N17" s="22">
        <f t="shared" si="13"/>
        <v>6422528</v>
      </c>
      <c r="O17" s="22"/>
      <c r="P17" s="5"/>
      <c r="Q17" s="26"/>
      <c r="R17" s="26"/>
      <c r="S17" s="26"/>
      <c r="T17" s="26"/>
      <c r="U17" s="26"/>
      <c r="X17" s="26"/>
    </row>
    <row r="18" spans="1:24">
      <c r="A18" s="12"/>
      <c r="B18" s="15" t="s">
        <v>86</v>
      </c>
      <c r="C18" s="13">
        <v>256</v>
      </c>
      <c r="D18" s="13" t="s">
        <v>40</v>
      </c>
      <c r="E18" s="13">
        <v>1</v>
      </c>
      <c r="F18" s="13">
        <v>128</v>
      </c>
      <c r="G18" s="13" t="s">
        <v>40</v>
      </c>
      <c r="H18" s="13" t="s">
        <v>83</v>
      </c>
      <c r="I18" s="13">
        <f t="shared" si="5"/>
        <v>25088</v>
      </c>
      <c r="J18" s="13">
        <f t="shared" si="10"/>
        <v>32896</v>
      </c>
      <c r="K18" s="24">
        <f t="shared" si="11"/>
        <v>1647378432</v>
      </c>
      <c r="L18" s="24"/>
      <c r="M18" s="8">
        <f t="shared" si="12"/>
        <v>12845056</v>
      </c>
      <c r="N18" s="22">
        <f t="shared" si="13"/>
        <v>3211264</v>
      </c>
      <c r="O18" s="22"/>
      <c r="P18" s="5"/>
      <c r="Q18" s="26"/>
      <c r="R18" s="26"/>
      <c r="S18" s="26"/>
      <c r="T18" s="26"/>
      <c r="U18" s="26"/>
      <c r="X18" s="26"/>
    </row>
    <row r="19" spans="1:24">
      <c r="A19" s="12"/>
      <c r="B19" s="15"/>
      <c r="C19" s="13">
        <v>128</v>
      </c>
      <c r="D19" s="13" t="s">
        <v>46</v>
      </c>
      <c r="E19" s="13">
        <v>27</v>
      </c>
      <c r="F19" s="13">
        <v>192</v>
      </c>
      <c r="G19" s="13" t="s">
        <v>40</v>
      </c>
      <c r="H19" s="13" t="s">
        <v>83</v>
      </c>
      <c r="I19" s="13">
        <f t="shared" si="5"/>
        <v>25088</v>
      </c>
      <c r="J19" s="13">
        <f t="shared" si="10"/>
        <v>663744</v>
      </c>
      <c r="K19" s="24">
        <f t="shared" si="11"/>
        <v>33299202048</v>
      </c>
      <c r="L19" s="24"/>
      <c r="M19" s="8">
        <f t="shared" si="12"/>
        <v>12845056</v>
      </c>
      <c r="N19" s="22">
        <f t="shared" si="13"/>
        <v>3211264</v>
      </c>
      <c r="O19" s="22"/>
      <c r="P19" s="5"/>
      <c r="Q19" s="26"/>
      <c r="R19" s="26"/>
      <c r="S19" s="26"/>
      <c r="T19" s="26"/>
      <c r="U19" s="26"/>
      <c r="X19" s="26"/>
    </row>
    <row r="20" spans="1:24">
      <c r="A20" s="12"/>
      <c r="B20" s="15" t="s">
        <v>87</v>
      </c>
      <c r="C20" s="13">
        <v>256</v>
      </c>
      <c r="D20" s="13" t="s">
        <v>40</v>
      </c>
      <c r="E20" s="13">
        <v>1</v>
      </c>
      <c r="F20" s="13">
        <v>32</v>
      </c>
      <c r="G20" s="13" t="s">
        <v>40</v>
      </c>
      <c r="H20" s="13" t="s">
        <v>83</v>
      </c>
      <c r="I20" s="13">
        <f t="shared" si="5"/>
        <v>25088</v>
      </c>
      <c r="J20" s="13">
        <f t="shared" si="10"/>
        <v>8224</v>
      </c>
      <c r="K20" s="24">
        <f t="shared" si="11"/>
        <v>411844608</v>
      </c>
      <c r="L20" s="24"/>
      <c r="M20" s="8">
        <f t="shared" si="12"/>
        <v>19267584</v>
      </c>
      <c r="N20" s="22">
        <f t="shared" si="13"/>
        <v>4816896</v>
      </c>
      <c r="O20" s="22"/>
      <c r="P20" s="5"/>
      <c r="Q20" s="26"/>
      <c r="R20" s="26"/>
      <c r="S20" s="26"/>
      <c r="T20" s="26"/>
      <c r="U20" s="26"/>
      <c r="X20" s="26"/>
    </row>
    <row r="21" spans="1:24">
      <c r="A21" s="12"/>
      <c r="B21" s="15"/>
      <c r="C21" s="13">
        <v>32</v>
      </c>
      <c r="D21" s="13" t="s">
        <v>46</v>
      </c>
      <c r="E21" s="13">
        <v>27</v>
      </c>
      <c r="F21" s="13">
        <v>96</v>
      </c>
      <c r="G21" s="13" t="s">
        <v>40</v>
      </c>
      <c r="H21" s="13" t="s">
        <v>83</v>
      </c>
      <c r="I21" s="13">
        <f t="shared" si="5"/>
        <v>25088</v>
      </c>
      <c r="J21" s="13">
        <f t="shared" si="10"/>
        <v>83040</v>
      </c>
      <c r="K21" s="24">
        <f t="shared" si="11"/>
        <v>4164206592</v>
      </c>
      <c r="L21" s="24"/>
      <c r="M21" s="8">
        <f t="shared" si="12"/>
        <v>3211264</v>
      </c>
      <c r="N21" s="22">
        <f t="shared" si="13"/>
        <v>802816</v>
      </c>
      <c r="O21" s="22"/>
      <c r="P21" s="5"/>
      <c r="Q21" s="26"/>
      <c r="R21" s="26"/>
      <c r="S21" s="26"/>
      <c r="T21" s="26"/>
      <c r="U21" s="26"/>
      <c r="X21" s="26"/>
    </row>
    <row r="22" spans="1:24">
      <c r="A22" s="12"/>
      <c r="B22" s="15" t="s">
        <v>88</v>
      </c>
      <c r="C22" s="13">
        <v>1</v>
      </c>
      <c r="D22" s="13" t="s">
        <v>46</v>
      </c>
      <c r="E22" s="13">
        <v>27</v>
      </c>
      <c r="F22" s="13">
        <v>256</v>
      </c>
      <c r="G22" s="13" t="s">
        <v>40</v>
      </c>
      <c r="H22" s="13" t="s">
        <v>83</v>
      </c>
      <c r="I22" s="13">
        <f t="shared" si="5"/>
        <v>25088</v>
      </c>
      <c r="J22" s="13">
        <v>0</v>
      </c>
      <c r="K22" s="22">
        <v>0</v>
      </c>
      <c r="L22" s="24">
        <f>I22*E22*F22</f>
        <v>173408256</v>
      </c>
      <c r="M22" s="22">
        <v>0</v>
      </c>
      <c r="N22" s="22">
        <v>0</v>
      </c>
      <c r="O22" s="22"/>
      <c r="P22" s="5"/>
      <c r="Q22" s="26"/>
      <c r="R22" s="26"/>
      <c r="S22" s="26"/>
      <c r="T22" s="26"/>
      <c r="U22" s="26"/>
      <c r="X22" s="26"/>
    </row>
    <row r="23" spans="1:24">
      <c r="A23" s="12"/>
      <c r="B23" s="15"/>
      <c r="C23" s="13">
        <v>256</v>
      </c>
      <c r="D23" s="13" t="s">
        <v>40</v>
      </c>
      <c r="E23" s="13">
        <v>1</v>
      </c>
      <c r="F23" s="13">
        <v>64</v>
      </c>
      <c r="G23" s="13" t="s">
        <v>40</v>
      </c>
      <c r="H23" s="13" t="s">
        <v>83</v>
      </c>
      <c r="I23" s="13">
        <f t="shared" si="5"/>
        <v>25088</v>
      </c>
      <c r="J23" s="13">
        <f t="shared" ref="J23:J30" si="14">C23*E23*F23+F23</f>
        <v>16448</v>
      </c>
      <c r="K23" s="24">
        <f t="shared" ref="K23:K30" si="15">I23*F23*(2*C23*E23+1)</f>
        <v>823689216</v>
      </c>
      <c r="L23" s="24"/>
      <c r="M23" s="8">
        <f t="shared" ref="M23:M30" si="16">4*I22*F22</f>
        <v>25690112</v>
      </c>
      <c r="N23" s="22">
        <f t="shared" ref="N23:N30" si="17">I22*F22</f>
        <v>6422528</v>
      </c>
      <c r="O23" s="22"/>
      <c r="P23" s="5"/>
      <c r="Q23" s="26"/>
      <c r="R23" s="26"/>
      <c r="S23" s="26"/>
      <c r="T23" s="26"/>
      <c r="U23" s="26"/>
      <c r="X23" s="26"/>
    </row>
    <row r="24" spans="1:24">
      <c r="A24" s="12"/>
      <c r="B24" s="15" t="s">
        <v>89</v>
      </c>
      <c r="C24" s="13">
        <v>0</v>
      </c>
      <c r="D24" s="13"/>
      <c r="E24" s="13"/>
      <c r="F24" s="13">
        <v>480</v>
      </c>
      <c r="G24" s="13"/>
      <c r="H24" s="13" t="s">
        <v>83</v>
      </c>
      <c r="I24" s="13">
        <f t="shared" si="5"/>
        <v>25088</v>
      </c>
      <c r="J24" s="13">
        <f t="shared" si="14"/>
        <v>480</v>
      </c>
      <c r="K24" s="24">
        <f t="shared" si="15"/>
        <v>12042240</v>
      </c>
      <c r="L24" s="24"/>
      <c r="M24" s="8">
        <f t="shared" si="16"/>
        <v>6422528</v>
      </c>
      <c r="N24" s="22">
        <f t="shared" si="17"/>
        <v>1605632</v>
      </c>
      <c r="O24" s="22"/>
      <c r="P24" s="5"/>
      <c r="Q24" s="26"/>
      <c r="R24" s="26"/>
      <c r="S24" s="26"/>
      <c r="T24" s="26"/>
      <c r="U24" s="26"/>
      <c r="X24" s="26"/>
    </row>
    <row r="25" spans="1:24">
      <c r="A25" s="12" t="s">
        <v>91</v>
      </c>
      <c r="B25" s="12"/>
      <c r="C25" s="13">
        <v>1</v>
      </c>
      <c r="D25" s="13" t="s">
        <v>46</v>
      </c>
      <c r="E25" s="13">
        <v>27</v>
      </c>
      <c r="F25" s="13">
        <v>480</v>
      </c>
      <c r="G25" s="13" t="s">
        <v>49</v>
      </c>
      <c r="H25" s="13" t="s">
        <v>92</v>
      </c>
      <c r="I25" s="13">
        <f t="shared" ref="I25:I65" si="18">16*14*14</f>
        <v>3136</v>
      </c>
      <c r="J25" s="13">
        <f t="shared" si="14"/>
        <v>13440</v>
      </c>
      <c r="K25" s="22">
        <v>0</v>
      </c>
      <c r="L25" s="24">
        <f>I25*E25*F25</f>
        <v>40642560</v>
      </c>
      <c r="M25" s="22">
        <v>0</v>
      </c>
      <c r="N25" s="22">
        <v>0</v>
      </c>
      <c r="O25" s="22"/>
      <c r="P25" s="5"/>
      <c r="Q25" s="26"/>
      <c r="R25" s="26"/>
      <c r="S25" s="26"/>
      <c r="T25" s="26"/>
      <c r="U25" s="26"/>
      <c r="X25" s="26"/>
    </row>
    <row r="26" spans="1:24">
      <c r="A26" s="12" t="s">
        <v>93</v>
      </c>
      <c r="B26" s="16" t="s">
        <v>85</v>
      </c>
      <c r="C26" s="13">
        <v>480</v>
      </c>
      <c r="D26" s="13" t="s">
        <v>40</v>
      </c>
      <c r="E26" s="13">
        <v>1</v>
      </c>
      <c r="F26" s="13">
        <v>192</v>
      </c>
      <c r="G26" s="13" t="s">
        <v>40</v>
      </c>
      <c r="H26" s="13" t="s">
        <v>92</v>
      </c>
      <c r="I26" s="13">
        <f t="shared" si="18"/>
        <v>3136</v>
      </c>
      <c r="J26" s="13">
        <f t="shared" si="14"/>
        <v>92352</v>
      </c>
      <c r="K26" s="24">
        <f t="shared" si="15"/>
        <v>578629632</v>
      </c>
      <c r="L26" s="24"/>
      <c r="M26" s="8">
        <f t="shared" si="16"/>
        <v>6021120</v>
      </c>
      <c r="N26" s="22">
        <f t="shared" si="17"/>
        <v>1505280</v>
      </c>
      <c r="O26" s="22"/>
      <c r="P26" s="5"/>
      <c r="Q26" s="26"/>
      <c r="R26" s="26"/>
      <c r="S26" s="26"/>
      <c r="T26" s="26"/>
      <c r="U26" s="26"/>
      <c r="X26" s="26"/>
    </row>
    <row r="27" spans="1:24">
      <c r="A27" s="12"/>
      <c r="B27" s="16" t="s">
        <v>86</v>
      </c>
      <c r="C27" s="13">
        <v>480</v>
      </c>
      <c r="D27" s="13" t="s">
        <v>40</v>
      </c>
      <c r="E27" s="13">
        <v>1</v>
      </c>
      <c r="F27" s="13">
        <v>96</v>
      </c>
      <c r="G27" s="13" t="s">
        <v>40</v>
      </c>
      <c r="H27" s="13" t="s">
        <v>92</v>
      </c>
      <c r="I27" s="13">
        <f t="shared" si="18"/>
        <v>3136</v>
      </c>
      <c r="J27" s="13">
        <f t="shared" si="14"/>
        <v>46176</v>
      </c>
      <c r="K27" s="24">
        <f t="shared" si="15"/>
        <v>289314816</v>
      </c>
      <c r="L27" s="24"/>
      <c r="M27" s="8">
        <f t="shared" si="16"/>
        <v>2408448</v>
      </c>
      <c r="N27" s="22">
        <f t="shared" si="17"/>
        <v>602112</v>
      </c>
      <c r="O27" s="22"/>
      <c r="P27" s="5"/>
      <c r="Q27" s="26"/>
      <c r="R27" s="26"/>
      <c r="S27" s="26"/>
      <c r="T27" s="26"/>
      <c r="U27" s="26"/>
      <c r="X27" s="26"/>
    </row>
    <row r="28" spans="1:24">
      <c r="A28" s="12"/>
      <c r="B28" s="16"/>
      <c r="C28" s="13">
        <v>96</v>
      </c>
      <c r="D28" s="13" t="s">
        <v>46</v>
      </c>
      <c r="E28" s="13">
        <v>27</v>
      </c>
      <c r="F28" s="13">
        <v>208</v>
      </c>
      <c r="G28" s="13" t="s">
        <v>40</v>
      </c>
      <c r="H28" s="13" t="s">
        <v>92</v>
      </c>
      <c r="I28" s="13">
        <f t="shared" si="18"/>
        <v>3136</v>
      </c>
      <c r="J28" s="13">
        <f t="shared" si="14"/>
        <v>539344</v>
      </c>
      <c r="K28" s="24">
        <f t="shared" si="15"/>
        <v>3382113280</v>
      </c>
      <c r="L28" s="24"/>
      <c r="M28" s="8">
        <f t="shared" si="16"/>
        <v>1204224</v>
      </c>
      <c r="N28" s="22">
        <f t="shared" si="17"/>
        <v>301056</v>
      </c>
      <c r="O28" s="22"/>
      <c r="P28" s="5"/>
      <c r="Q28" s="26"/>
      <c r="R28" s="26"/>
      <c r="S28" s="26"/>
      <c r="T28" s="26"/>
      <c r="U28" s="26"/>
      <c r="X28" s="26"/>
    </row>
    <row r="29" spans="1:24">
      <c r="A29" s="12"/>
      <c r="B29" s="16" t="s">
        <v>87</v>
      </c>
      <c r="C29" s="13">
        <v>480</v>
      </c>
      <c r="D29" s="13" t="s">
        <v>40</v>
      </c>
      <c r="E29" s="13">
        <v>1</v>
      </c>
      <c r="F29" s="13">
        <v>16</v>
      </c>
      <c r="G29" s="13" t="s">
        <v>40</v>
      </c>
      <c r="H29" s="13" t="s">
        <v>92</v>
      </c>
      <c r="I29" s="13">
        <f t="shared" si="18"/>
        <v>3136</v>
      </c>
      <c r="J29" s="13">
        <f t="shared" si="14"/>
        <v>7696</v>
      </c>
      <c r="K29" s="24">
        <f t="shared" si="15"/>
        <v>48219136</v>
      </c>
      <c r="L29" s="24"/>
      <c r="M29" s="8">
        <f t="shared" si="16"/>
        <v>2609152</v>
      </c>
      <c r="N29" s="22">
        <f t="shared" si="17"/>
        <v>652288</v>
      </c>
      <c r="O29" s="22"/>
      <c r="P29" s="5"/>
      <c r="Q29" s="26"/>
      <c r="R29" s="26"/>
      <c r="S29" s="26"/>
      <c r="T29" s="26"/>
      <c r="U29" s="26"/>
      <c r="X29" s="26"/>
    </row>
    <row r="30" spans="1:24">
      <c r="A30" s="12"/>
      <c r="B30" s="16"/>
      <c r="C30" s="13">
        <v>16</v>
      </c>
      <c r="D30" s="13" t="s">
        <v>46</v>
      </c>
      <c r="E30" s="13">
        <v>27</v>
      </c>
      <c r="F30" s="13">
        <v>48</v>
      </c>
      <c r="G30" s="13" t="s">
        <v>40</v>
      </c>
      <c r="H30" s="13" t="s">
        <v>92</v>
      </c>
      <c r="I30" s="13">
        <f t="shared" si="18"/>
        <v>3136</v>
      </c>
      <c r="J30" s="13">
        <f t="shared" si="14"/>
        <v>20784</v>
      </c>
      <c r="K30" s="24">
        <f t="shared" si="15"/>
        <v>130206720</v>
      </c>
      <c r="L30" s="24"/>
      <c r="M30" s="8">
        <f t="shared" si="16"/>
        <v>200704</v>
      </c>
      <c r="N30" s="22">
        <f t="shared" si="17"/>
        <v>50176</v>
      </c>
      <c r="O30" s="22"/>
      <c r="P30" s="5"/>
      <c r="Q30" s="26"/>
      <c r="R30" s="26"/>
      <c r="S30" s="26"/>
      <c r="T30" s="26"/>
      <c r="U30" s="26"/>
      <c r="X30" s="26"/>
    </row>
    <row r="31" spans="1:24">
      <c r="A31" s="12"/>
      <c r="B31" s="16" t="s">
        <v>88</v>
      </c>
      <c r="C31" s="13">
        <v>1</v>
      </c>
      <c r="D31" s="13" t="s">
        <v>46</v>
      </c>
      <c r="E31" s="13">
        <v>27</v>
      </c>
      <c r="F31" s="13">
        <v>480</v>
      </c>
      <c r="G31" s="13" t="s">
        <v>40</v>
      </c>
      <c r="H31" s="13" t="s">
        <v>92</v>
      </c>
      <c r="I31" s="13">
        <f t="shared" si="18"/>
        <v>3136</v>
      </c>
      <c r="J31" s="13">
        <v>0</v>
      </c>
      <c r="K31" s="22">
        <v>0</v>
      </c>
      <c r="L31" s="24">
        <f>I31*E31*F31</f>
        <v>40642560</v>
      </c>
      <c r="M31" s="22">
        <v>0</v>
      </c>
      <c r="N31" s="22">
        <v>0</v>
      </c>
      <c r="O31" s="22"/>
      <c r="P31" s="5"/>
      <c r="Q31" s="26"/>
      <c r="R31" s="26"/>
      <c r="S31" s="26"/>
      <c r="T31" s="26"/>
      <c r="U31" s="26"/>
      <c r="X31" s="26"/>
    </row>
    <row r="32" spans="1:24">
      <c r="A32" s="12"/>
      <c r="B32" s="16"/>
      <c r="C32" s="13">
        <v>480</v>
      </c>
      <c r="D32" s="13" t="s">
        <v>40</v>
      </c>
      <c r="E32" s="13">
        <v>1</v>
      </c>
      <c r="F32" s="13">
        <v>64</v>
      </c>
      <c r="G32" s="13" t="s">
        <v>40</v>
      </c>
      <c r="H32" s="13" t="s">
        <v>92</v>
      </c>
      <c r="I32" s="13">
        <f t="shared" si="18"/>
        <v>3136</v>
      </c>
      <c r="J32" s="13">
        <f t="shared" ref="J32:J38" si="19">C32*E32*F32+F32</f>
        <v>30784</v>
      </c>
      <c r="K32" s="24">
        <f t="shared" ref="K32:K38" si="20">I32*F32*(2*C32*E32+1)</f>
        <v>192876544</v>
      </c>
      <c r="L32" s="24"/>
      <c r="M32" s="8">
        <f t="shared" ref="M32:M38" si="21">4*I31*F31</f>
        <v>6021120</v>
      </c>
      <c r="N32" s="22">
        <f t="shared" ref="N32:N38" si="22">I31*F31</f>
        <v>1505280</v>
      </c>
      <c r="O32" s="22"/>
      <c r="P32" s="5"/>
      <c r="Q32" s="26"/>
      <c r="R32" s="26"/>
      <c r="S32" s="26"/>
      <c r="T32" s="26"/>
      <c r="U32" s="26"/>
      <c r="X32" s="26"/>
    </row>
    <row r="33" spans="1:24">
      <c r="A33" s="12"/>
      <c r="B33" s="16" t="s">
        <v>89</v>
      </c>
      <c r="C33" s="13">
        <v>0</v>
      </c>
      <c r="D33" s="13"/>
      <c r="E33" s="13"/>
      <c r="F33" s="13">
        <v>512</v>
      </c>
      <c r="G33" s="13"/>
      <c r="H33" s="13" t="s">
        <v>92</v>
      </c>
      <c r="I33" s="13">
        <f t="shared" si="18"/>
        <v>3136</v>
      </c>
      <c r="J33" s="13">
        <f t="shared" si="19"/>
        <v>512</v>
      </c>
      <c r="K33" s="24">
        <f t="shared" si="20"/>
        <v>1605632</v>
      </c>
      <c r="L33" s="24"/>
      <c r="M33" s="8">
        <f t="shared" si="21"/>
        <v>802816</v>
      </c>
      <c r="N33" s="22">
        <f t="shared" si="22"/>
        <v>200704</v>
      </c>
      <c r="O33" s="22"/>
      <c r="P33" s="5"/>
      <c r="Q33" s="26"/>
      <c r="R33" s="26"/>
      <c r="S33" s="26"/>
      <c r="T33" s="26"/>
      <c r="U33" s="26"/>
      <c r="X33" s="26"/>
    </row>
    <row r="34" spans="1:24">
      <c r="A34" s="12" t="s">
        <v>94</v>
      </c>
      <c r="B34" s="17" t="s">
        <v>85</v>
      </c>
      <c r="C34" s="13">
        <v>512</v>
      </c>
      <c r="D34" s="13" t="s">
        <v>40</v>
      </c>
      <c r="E34" s="13">
        <v>1</v>
      </c>
      <c r="F34" s="13">
        <v>160</v>
      </c>
      <c r="G34" s="13" t="s">
        <v>40</v>
      </c>
      <c r="H34" s="13" t="s">
        <v>92</v>
      </c>
      <c r="I34" s="13">
        <f t="shared" si="18"/>
        <v>3136</v>
      </c>
      <c r="J34" s="13">
        <f t="shared" si="19"/>
        <v>82080</v>
      </c>
      <c r="K34" s="24">
        <f t="shared" si="20"/>
        <v>514304000</v>
      </c>
      <c r="L34" s="24"/>
      <c r="M34" s="8">
        <f t="shared" si="21"/>
        <v>6422528</v>
      </c>
      <c r="N34" s="22">
        <f t="shared" si="22"/>
        <v>1605632</v>
      </c>
      <c r="O34" s="22"/>
      <c r="P34" s="5"/>
      <c r="Q34" s="26"/>
      <c r="R34" s="26"/>
      <c r="S34" s="26"/>
      <c r="T34" s="26"/>
      <c r="U34" s="26"/>
      <c r="X34" s="26"/>
    </row>
    <row r="35" spans="1:24">
      <c r="A35" s="12"/>
      <c r="B35" s="17" t="s">
        <v>86</v>
      </c>
      <c r="C35" s="13">
        <v>512</v>
      </c>
      <c r="D35" s="13" t="s">
        <v>40</v>
      </c>
      <c r="E35" s="13">
        <v>1</v>
      </c>
      <c r="F35" s="13">
        <v>112</v>
      </c>
      <c r="G35" s="13" t="s">
        <v>40</v>
      </c>
      <c r="H35" s="13" t="s">
        <v>92</v>
      </c>
      <c r="I35" s="13">
        <f t="shared" si="18"/>
        <v>3136</v>
      </c>
      <c r="J35" s="13">
        <f t="shared" si="19"/>
        <v>57456</v>
      </c>
      <c r="K35" s="24">
        <f t="shared" si="20"/>
        <v>360012800</v>
      </c>
      <c r="L35" s="24"/>
      <c r="M35" s="8">
        <f t="shared" si="21"/>
        <v>2007040</v>
      </c>
      <c r="N35" s="22">
        <f t="shared" si="22"/>
        <v>501760</v>
      </c>
      <c r="O35" s="22"/>
      <c r="P35" s="5"/>
      <c r="Q35" s="26"/>
      <c r="R35" s="26"/>
      <c r="S35" s="26"/>
      <c r="T35" s="26"/>
      <c r="U35" s="26"/>
      <c r="X35" s="26"/>
    </row>
    <row r="36" spans="1:24">
      <c r="A36" s="12"/>
      <c r="B36" s="17"/>
      <c r="C36" s="13">
        <v>112</v>
      </c>
      <c r="D36" s="13" t="s">
        <v>46</v>
      </c>
      <c r="E36" s="13">
        <v>27</v>
      </c>
      <c r="F36" s="13">
        <v>224</v>
      </c>
      <c r="G36" s="13" t="s">
        <v>40</v>
      </c>
      <c r="H36" s="13" t="s">
        <v>92</v>
      </c>
      <c r="I36" s="13">
        <f t="shared" si="18"/>
        <v>3136</v>
      </c>
      <c r="J36" s="13">
        <f t="shared" si="19"/>
        <v>677600</v>
      </c>
      <c r="K36" s="24">
        <f t="shared" si="20"/>
        <v>4249204736</v>
      </c>
      <c r="L36" s="24"/>
      <c r="M36" s="8">
        <f t="shared" si="21"/>
        <v>1404928</v>
      </c>
      <c r="N36" s="22">
        <f t="shared" si="22"/>
        <v>351232</v>
      </c>
      <c r="O36" s="22"/>
      <c r="P36" s="5"/>
      <c r="Q36" s="26"/>
      <c r="R36" s="26"/>
      <c r="S36" s="26"/>
      <c r="T36" s="26"/>
      <c r="U36" s="26"/>
      <c r="X36" s="26"/>
    </row>
    <row r="37" spans="1:24">
      <c r="A37" s="12"/>
      <c r="B37" s="17" t="s">
        <v>87</v>
      </c>
      <c r="C37" s="13">
        <v>512</v>
      </c>
      <c r="D37" s="13" t="s">
        <v>40</v>
      </c>
      <c r="E37" s="13">
        <v>1</v>
      </c>
      <c r="F37" s="13">
        <v>24</v>
      </c>
      <c r="G37" s="13" t="s">
        <v>40</v>
      </c>
      <c r="H37" s="13" t="s">
        <v>92</v>
      </c>
      <c r="I37" s="13">
        <f t="shared" si="18"/>
        <v>3136</v>
      </c>
      <c r="J37" s="13">
        <f t="shared" si="19"/>
        <v>12312</v>
      </c>
      <c r="K37" s="24">
        <f t="shared" si="20"/>
        <v>77145600</v>
      </c>
      <c r="L37" s="24"/>
      <c r="M37" s="8">
        <f t="shared" si="21"/>
        <v>2809856</v>
      </c>
      <c r="N37" s="22">
        <f t="shared" si="22"/>
        <v>702464</v>
      </c>
      <c r="O37" s="22"/>
      <c r="P37" s="5"/>
      <c r="Q37" s="26"/>
      <c r="R37" s="26"/>
      <c r="S37" s="26"/>
      <c r="T37" s="26"/>
      <c r="U37" s="26"/>
      <c r="X37" s="26"/>
    </row>
    <row r="38" spans="1:24">
      <c r="A38" s="12"/>
      <c r="B38" s="17"/>
      <c r="C38" s="13">
        <v>24</v>
      </c>
      <c r="D38" s="13" t="s">
        <v>46</v>
      </c>
      <c r="E38" s="13">
        <v>27</v>
      </c>
      <c r="F38" s="13">
        <v>64</v>
      </c>
      <c r="G38" s="13" t="s">
        <v>40</v>
      </c>
      <c r="H38" s="13" t="s">
        <v>92</v>
      </c>
      <c r="I38" s="13">
        <f t="shared" si="18"/>
        <v>3136</v>
      </c>
      <c r="J38" s="13">
        <f t="shared" si="19"/>
        <v>41536</v>
      </c>
      <c r="K38" s="24">
        <f t="shared" si="20"/>
        <v>260313088</v>
      </c>
      <c r="L38" s="24"/>
      <c r="M38" s="8">
        <f t="shared" si="21"/>
        <v>301056</v>
      </c>
      <c r="N38" s="22">
        <f t="shared" si="22"/>
        <v>75264</v>
      </c>
      <c r="O38" s="22"/>
      <c r="P38" s="5"/>
      <c r="Q38" s="26"/>
      <c r="R38" s="26"/>
      <c r="S38" s="26"/>
      <c r="T38" s="26"/>
      <c r="U38" s="26"/>
      <c r="X38" s="26"/>
    </row>
    <row r="39" spans="1:24">
      <c r="A39" s="12"/>
      <c r="B39" s="17" t="s">
        <v>88</v>
      </c>
      <c r="C39" s="13">
        <v>1</v>
      </c>
      <c r="D39" s="13" t="s">
        <v>46</v>
      </c>
      <c r="E39" s="13">
        <v>27</v>
      </c>
      <c r="F39" s="13">
        <v>512</v>
      </c>
      <c r="G39" s="13" t="s">
        <v>40</v>
      </c>
      <c r="H39" s="13" t="s">
        <v>92</v>
      </c>
      <c r="I39" s="13">
        <f t="shared" si="18"/>
        <v>3136</v>
      </c>
      <c r="J39" s="13">
        <v>0</v>
      </c>
      <c r="K39" s="22">
        <v>0</v>
      </c>
      <c r="L39" s="24">
        <f>I39*E39*F39</f>
        <v>43352064</v>
      </c>
      <c r="M39" s="22">
        <v>0</v>
      </c>
      <c r="N39" s="22">
        <v>0</v>
      </c>
      <c r="O39" s="22"/>
      <c r="P39" s="5"/>
      <c r="Q39" s="26"/>
      <c r="R39" s="26"/>
      <c r="S39" s="26"/>
      <c r="T39" s="26"/>
      <c r="U39" s="26"/>
      <c r="X39" s="26"/>
    </row>
    <row r="40" spans="1:24">
      <c r="A40" s="12"/>
      <c r="B40" s="17"/>
      <c r="C40" s="13">
        <v>512</v>
      </c>
      <c r="D40" s="13" t="s">
        <v>40</v>
      </c>
      <c r="E40" s="13">
        <v>1</v>
      </c>
      <c r="F40" s="13">
        <v>64</v>
      </c>
      <c r="G40" s="13" t="s">
        <v>40</v>
      </c>
      <c r="H40" s="13" t="s">
        <v>92</v>
      </c>
      <c r="I40" s="13">
        <f t="shared" si="18"/>
        <v>3136</v>
      </c>
      <c r="J40" s="13">
        <f t="shared" ref="J40:J46" si="23">C40*E40*F40+F40</f>
        <v>32832</v>
      </c>
      <c r="K40" s="24">
        <f t="shared" ref="K40:K46" si="24">I40*F40*(2*C40*E40+1)</f>
        <v>205721600</v>
      </c>
      <c r="L40" s="24"/>
      <c r="M40" s="8">
        <f t="shared" ref="M40:M46" si="25">4*I39*F39</f>
        <v>6422528</v>
      </c>
      <c r="N40" s="22">
        <f t="shared" ref="N40:N46" si="26">I39*F39</f>
        <v>1605632</v>
      </c>
      <c r="O40" s="22"/>
      <c r="P40" s="5"/>
      <c r="Q40" s="26"/>
      <c r="R40" s="26"/>
      <c r="S40" s="26"/>
      <c r="T40" s="26"/>
      <c r="U40" s="26"/>
      <c r="X40" s="26"/>
    </row>
    <row r="41" spans="1:24">
      <c r="A41" s="12"/>
      <c r="B41" s="17" t="s">
        <v>89</v>
      </c>
      <c r="C41" s="13">
        <v>0</v>
      </c>
      <c r="D41" s="13"/>
      <c r="E41" s="13"/>
      <c r="F41" s="13">
        <v>512</v>
      </c>
      <c r="G41" s="13"/>
      <c r="H41" s="13" t="s">
        <v>92</v>
      </c>
      <c r="I41" s="13">
        <f t="shared" si="18"/>
        <v>3136</v>
      </c>
      <c r="J41" s="13">
        <f t="shared" si="23"/>
        <v>512</v>
      </c>
      <c r="K41" s="24">
        <f t="shared" si="24"/>
        <v>1605632</v>
      </c>
      <c r="L41" s="24"/>
      <c r="M41" s="8">
        <f t="shared" si="25"/>
        <v>802816</v>
      </c>
      <c r="N41" s="22">
        <f t="shared" si="26"/>
        <v>200704</v>
      </c>
      <c r="O41" s="22"/>
      <c r="P41" s="5"/>
      <c r="Q41" s="26"/>
      <c r="R41" s="26"/>
      <c r="S41" s="26"/>
      <c r="T41" s="26"/>
      <c r="U41" s="26"/>
      <c r="X41" s="26"/>
    </row>
    <row r="42" spans="1:24">
      <c r="A42" s="12" t="s">
        <v>95</v>
      </c>
      <c r="B42" s="18" t="s">
        <v>85</v>
      </c>
      <c r="C42" s="13">
        <v>512</v>
      </c>
      <c r="D42" s="13" t="s">
        <v>40</v>
      </c>
      <c r="E42" s="13">
        <v>1</v>
      </c>
      <c r="F42" s="13">
        <v>128</v>
      </c>
      <c r="G42" s="13" t="s">
        <v>40</v>
      </c>
      <c r="H42" s="13" t="s">
        <v>92</v>
      </c>
      <c r="I42" s="13">
        <f t="shared" si="18"/>
        <v>3136</v>
      </c>
      <c r="J42" s="13">
        <f t="shared" si="23"/>
        <v>65664</v>
      </c>
      <c r="K42" s="24">
        <f t="shared" si="24"/>
        <v>411443200</v>
      </c>
      <c r="L42" s="24"/>
      <c r="M42" s="8">
        <f t="shared" si="25"/>
        <v>6422528</v>
      </c>
      <c r="N42" s="22">
        <f t="shared" si="26"/>
        <v>1605632</v>
      </c>
      <c r="O42" s="22"/>
      <c r="P42" s="5"/>
      <c r="Q42" s="26"/>
      <c r="R42" s="26"/>
      <c r="S42" s="26"/>
      <c r="T42" s="26"/>
      <c r="U42" s="26"/>
      <c r="X42" s="26"/>
    </row>
    <row r="43" spans="1:24">
      <c r="A43" s="12"/>
      <c r="B43" s="18" t="s">
        <v>86</v>
      </c>
      <c r="C43" s="13">
        <v>512</v>
      </c>
      <c r="D43" s="13" t="s">
        <v>40</v>
      </c>
      <c r="E43" s="13">
        <v>1</v>
      </c>
      <c r="F43" s="13">
        <v>128</v>
      </c>
      <c r="G43" s="13" t="s">
        <v>40</v>
      </c>
      <c r="H43" s="13" t="s">
        <v>92</v>
      </c>
      <c r="I43" s="13">
        <f t="shared" si="18"/>
        <v>3136</v>
      </c>
      <c r="J43" s="13">
        <f t="shared" si="23"/>
        <v>65664</v>
      </c>
      <c r="K43" s="24">
        <f t="shared" si="24"/>
        <v>411443200</v>
      </c>
      <c r="L43" s="24"/>
      <c r="M43" s="8">
        <f t="shared" si="25"/>
        <v>1605632</v>
      </c>
      <c r="N43" s="22">
        <f t="shared" si="26"/>
        <v>401408</v>
      </c>
      <c r="O43" s="22"/>
      <c r="P43" s="5"/>
      <c r="Q43" s="26"/>
      <c r="R43" s="26"/>
      <c r="S43" s="26"/>
      <c r="T43" s="26"/>
      <c r="U43" s="26"/>
      <c r="X43" s="26"/>
    </row>
    <row r="44" spans="1:24">
      <c r="A44" s="12"/>
      <c r="B44" s="18"/>
      <c r="C44" s="13">
        <v>128</v>
      </c>
      <c r="D44" s="13" t="s">
        <v>46</v>
      </c>
      <c r="E44" s="13">
        <v>27</v>
      </c>
      <c r="F44" s="13">
        <v>256</v>
      </c>
      <c r="G44" s="13" t="s">
        <v>40</v>
      </c>
      <c r="H44" s="13" t="s">
        <v>92</v>
      </c>
      <c r="I44" s="13">
        <f t="shared" si="18"/>
        <v>3136</v>
      </c>
      <c r="J44" s="13">
        <f t="shared" si="23"/>
        <v>884992</v>
      </c>
      <c r="K44" s="24">
        <f t="shared" si="24"/>
        <v>5549867008</v>
      </c>
      <c r="L44" s="24"/>
      <c r="M44" s="8">
        <f t="shared" si="25"/>
        <v>1605632</v>
      </c>
      <c r="N44" s="22">
        <f t="shared" si="26"/>
        <v>401408</v>
      </c>
      <c r="O44" s="22"/>
      <c r="P44" s="5"/>
      <c r="Q44" s="26"/>
      <c r="R44" s="26"/>
      <c r="S44" s="26"/>
      <c r="T44" s="26"/>
      <c r="U44" s="26"/>
      <c r="X44" s="26"/>
    </row>
    <row r="45" spans="1:24">
      <c r="A45" s="12"/>
      <c r="B45" s="18" t="s">
        <v>87</v>
      </c>
      <c r="C45" s="13">
        <v>512</v>
      </c>
      <c r="D45" s="13" t="s">
        <v>40</v>
      </c>
      <c r="E45" s="13">
        <v>1</v>
      </c>
      <c r="F45" s="13">
        <v>24</v>
      </c>
      <c r="G45" s="13" t="s">
        <v>40</v>
      </c>
      <c r="H45" s="13" t="s">
        <v>92</v>
      </c>
      <c r="I45" s="13">
        <f t="shared" si="18"/>
        <v>3136</v>
      </c>
      <c r="J45" s="13">
        <f t="shared" si="23"/>
        <v>12312</v>
      </c>
      <c r="K45" s="24">
        <f t="shared" si="24"/>
        <v>77145600</v>
      </c>
      <c r="L45" s="24"/>
      <c r="M45" s="8">
        <f t="shared" si="25"/>
        <v>3211264</v>
      </c>
      <c r="N45" s="22">
        <f t="shared" si="26"/>
        <v>802816</v>
      </c>
      <c r="O45" s="22"/>
      <c r="P45" s="5"/>
      <c r="Q45" s="26"/>
      <c r="R45" s="26"/>
      <c r="S45" s="26"/>
      <c r="T45" s="26"/>
      <c r="U45" s="26"/>
      <c r="X45" s="26"/>
    </row>
    <row r="46" spans="1:24">
      <c r="A46" s="12"/>
      <c r="B46" s="18"/>
      <c r="C46" s="13">
        <v>24</v>
      </c>
      <c r="D46" s="13" t="s">
        <v>46</v>
      </c>
      <c r="E46" s="13">
        <v>27</v>
      </c>
      <c r="F46" s="13">
        <v>64</v>
      </c>
      <c r="G46" s="13" t="s">
        <v>40</v>
      </c>
      <c r="H46" s="13" t="s">
        <v>92</v>
      </c>
      <c r="I46" s="13">
        <f t="shared" si="18"/>
        <v>3136</v>
      </c>
      <c r="J46" s="13">
        <f t="shared" si="23"/>
        <v>41536</v>
      </c>
      <c r="K46" s="24">
        <f t="shared" si="24"/>
        <v>260313088</v>
      </c>
      <c r="L46" s="24"/>
      <c r="M46" s="8">
        <f t="shared" si="25"/>
        <v>301056</v>
      </c>
      <c r="N46" s="22">
        <f t="shared" si="26"/>
        <v>75264</v>
      </c>
      <c r="O46" s="22"/>
      <c r="P46" s="5"/>
      <c r="Q46" s="26"/>
      <c r="R46" s="26"/>
      <c r="S46" s="26"/>
      <c r="T46" s="26"/>
      <c r="U46" s="26"/>
      <c r="X46" s="26"/>
    </row>
    <row r="47" spans="1:24">
      <c r="A47" s="12"/>
      <c r="B47" s="18" t="s">
        <v>88</v>
      </c>
      <c r="C47" s="13">
        <v>1</v>
      </c>
      <c r="D47" s="13" t="s">
        <v>46</v>
      </c>
      <c r="E47" s="13">
        <v>27</v>
      </c>
      <c r="F47" s="13">
        <v>512</v>
      </c>
      <c r="G47" s="13" t="s">
        <v>40</v>
      </c>
      <c r="H47" s="13" t="s">
        <v>92</v>
      </c>
      <c r="I47" s="13">
        <f t="shared" si="18"/>
        <v>3136</v>
      </c>
      <c r="J47" s="13">
        <v>0</v>
      </c>
      <c r="K47" s="22">
        <v>0</v>
      </c>
      <c r="L47" s="24">
        <f>I47*E47*F47</f>
        <v>43352064</v>
      </c>
      <c r="M47" s="22">
        <v>0</v>
      </c>
      <c r="N47" s="22">
        <v>0</v>
      </c>
      <c r="O47" s="22"/>
      <c r="P47" s="5"/>
      <c r="Q47" s="26"/>
      <c r="R47" s="26"/>
      <c r="S47" s="26"/>
      <c r="T47" s="26"/>
      <c r="U47" s="26"/>
      <c r="X47" s="26"/>
    </row>
    <row r="48" spans="1:24">
      <c r="A48" s="12"/>
      <c r="B48" s="18"/>
      <c r="C48" s="13">
        <v>512</v>
      </c>
      <c r="D48" s="13" t="s">
        <v>40</v>
      </c>
      <c r="E48" s="13">
        <v>1</v>
      </c>
      <c r="F48" s="13">
        <v>64</v>
      </c>
      <c r="G48" s="13" t="s">
        <v>40</v>
      </c>
      <c r="H48" s="13" t="s">
        <v>92</v>
      </c>
      <c r="I48" s="13">
        <f t="shared" si="18"/>
        <v>3136</v>
      </c>
      <c r="J48" s="13">
        <f t="shared" ref="J48:J54" si="27">C48*E48*F48+F48</f>
        <v>32832</v>
      </c>
      <c r="K48" s="24">
        <f t="shared" ref="K48:K54" si="28">I48*F48*(2*C48*E48+1)</f>
        <v>205721600</v>
      </c>
      <c r="L48" s="24"/>
      <c r="M48" s="8">
        <f t="shared" ref="M48:M54" si="29">4*I47*F47</f>
        <v>6422528</v>
      </c>
      <c r="N48" s="22">
        <f t="shared" ref="N48:N54" si="30">I47*F47</f>
        <v>1605632</v>
      </c>
      <c r="O48" s="22"/>
      <c r="P48" s="5"/>
      <c r="Q48" s="26"/>
      <c r="R48" s="26"/>
      <c r="S48" s="26"/>
      <c r="T48" s="26"/>
      <c r="U48" s="26"/>
      <c r="X48" s="26"/>
    </row>
    <row r="49" spans="1:24">
      <c r="A49" s="12"/>
      <c r="B49" s="18" t="s">
        <v>89</v>
      </c>
      <c r="C49" s="13">
        <v>0</v>
      </c>
      <c r="D49" s="13"/>
      <c r="E49" s="13"/>
      <c r="F49" s="13">
        <v>512</v>
      </c>
      <c r="G49" s="13"/>
      <c r="H49" s="13" t="s">
        <v>92</v>
      </c>
      <c r="I49" s="13">
        <f t="shared" si="18"/>
        <v>3136</v>
      </c>
      <c r="J49" s="13">
        <f t="shared" si="27"/>
        <v>512</v>
      </c>
      <c r="K49" s="24">
        <f t="shared" si="28"/>
        <v>1605632</v>
      </c>
      <c r="L49" s="24"/>
      <c r="M49" s="8">
        <f t="shared" si="29"/>
        <v>802816</v>
      </c>
      <c r="N49" s="22">
        <f t="shared" si="30"/>
        <v>200704</v>
      </c>
      <c r="O49" s="22"/>
      <c r="P49" s="5"/>
      <c r="Q49" s="26"/>
      <c r="R49" s="26"/>
      <c r="S49" s="26"/>
      <c r="T49" s="26"/>
      <c r="U49" s="26"/>
      <c r="X49" s="26"/>
    </row>
    <row r="50" spans="1:24">
      <c r="A50" s="12" t="s">
        <v>96</v>
      </c>
      <c r="B50" s="19" t="s">
        <v>85</v>
      </c>
      <c r="C50" s="13">
        <v>512</v>
      </c>
      <c r="D50" s="13" t="s">
        <v>40</v>
      </c>
      <c r="E50" s="13">
        <v>1</v>
      </c>
      <c r="F50" s="13">
        <v>112</v>
      </c>
      <c r="G50" s="13" t="s">
        <v>40</v>
      </c>
      <c r="H50" s="13" t="s">
        <v>92</v>
      </c>
      <c r="I50" s="13">
        <f t="shared" si="18"/>
        <v>3136</v>
      </c>
      <c r="J50" s="13">
        <f t="shared" si="27"/>
        <v>57456</v>
      </c>
      <c r="K50" s="24">
        <f t="shared" si="28"/>
        <v>360012800</v>
      </c>
      <c r="L50" s="24"/>
      <c r="M50" s="8">
        <f t="shared" si="29"/>
        <v>6422528</v>
      </c>
      <c r="N50" s="22">
        <f t="shared" si="30"/>
        <v>1605632</v>
      </c>
      <c r="O50" s="22"/>
      <c r="P50" s="5"/>
      <c r="Q50" s="26"/>
      <c r="R50" s="26"/>
      <c r="S50" s="26"/>
      <c r="T50" s="26"/>
      <c r="U50" s="26"/>
      <c r="X50" s="26"/>
    </row>
    <row r="51" spans="1:24">
      <c r="A51" s="12"/>
      <c r="B51" s="19" t="s">
        <v>86</v>
      </c>
      <c r="C51" s="13">
        <v>512</v>
      </c>
      <c r="D51" s="13" t="s">
        <v>40</v>
      </c>
      <c r="E51" s="13">
        <v>1</v>
      </c>
      <c r="F51" s="13">
        <v>144</v>
      </c>
      <c r="G51" s="13" t="s">
        <v>40</v>
      </c>
      <c r="H51" s="13" t="s">
        <v>92</v>
      </c>
      <c r="I51" s="13">
        <f t="shared" si="18"/>
        <v>3136</v>
      </c>
      <c r="J51" s="13">
        <f t="shared" si="27"/>
        <v>73872</v>
      </c>
      <c r="K51" s="24">
        <f t="shared" si="28"/>
        <v>462873600</v>
      </c>
      <c r="L51" s="24"/>
      <c r="M51" s="8">
        <f t="shared" si="29"/>
        <v>1404928</v>
      </c>
      <c r="N51" s="22">
        <f t="shared" si="30"/>
        <v>351232</v>
      </c>
      <c r="O51" s="22"/>
      <c r="P51" s="5"/>
      <c r="Q51" s="26"/>
      <c r="R51" s="26"/>
      <c r="S51" s="26"/>
      <c r="T51" s="26"/>
      <c r="U51" s="26"/>
      <c r="X51" s="26"/>
    </row>
    <row r="52" spans="1:24">
      <c r="A52" s="12"/>
      <c r="B52" s="19"/>
      <c r="C52" s="13">
        <v>144</v>
      </c>
      <c r="D52" s="13" t="s">
        <v>46</v>
      </c>
      <c r="E52" s="13">
        <v>27</v>
      </c>
      <c r="F52" s="13">
        <v>288</v>
      </c>
      <c r="G52" s="13" t="s">
        <v>40</v>
      </c>
      <c r="H52" s="13" t="s">
        <v>92</v>
      </c>
      <c r="I52" s="13">
        <f t="shared" si="18"/>
        <v>3136</v>
      </c>
      <c r="J52" s="13">
        <f t="shared" si="27"/>
        <v>1120032</v>
      </c>
      <c r="K52" s="24">
        <f t="shared" si="28"/>
        <v>7023937536</v>
      </c>
      <c r="L52" s="24"/>
      <c r="M52" s="8">
        <f t="shared" si="29"/>
        <v>1806336</v>
      </c>
      <c r="N52" s="22">
        <f t="shared" si="30"/>
        <v>451584</v>
      </c>
      <c r="O52" s="22"/>
      <c r="P52" s="5"/>
      <c r="Q52" s="26"/>
      <c r="R52" s="26"/>
      <c r="S52" s="26"/>
      <c r="T52" s="26"/>
      <c r="U52" s="26"/>
      <c r="X52" s="26"/>
    </row>
    <row r="53" spans="1:24">
      <c r="A53" s="12"/>
      <c r="B53" s="19" t="s">
        <v>87</v>
      </c>
      <c r="C53" s="13">
        <v>512</v>
      </c>
      <c r="D53" s="13" t="s">
        <v>40</v>
      </c>
      <c r="E53" s="13">
        <v>1</v>
      </c>
      <c r="F53" s="13">
        <v>32</v>
      </c>
      <c r="G53" s="13" t="s">
        <v>40</v>
      </c>
      <c r="H53" s="13" t="s">
        <v>92</v>
      </c>
      <c r="I53" s="13">
        <f t="shared" si="18"/>
        <v>3136</v>
      </c>
      <c r="J53" s="13">
        <f t="shared" si="27"/>
        <v>16416</v>
      </c>
      <c r="K53" s="24">
        <f t="shared" si="28"/>
        <v>102860800</v>
      </c>
      <c r="L53" s="24"/>
      <c r="M53" s="8">
        <f t="shared" si="29"/>
        <v>3612672</v>
      </c>
      <c r="N53" s="22">
        <f t="shared" si="30"/>
        <v>903168</v>
      </c>
      <c r="O53" s="22"/>
      <c r="P53" s="5"/>
      <c r="Q53" s="26"/>
      <c r="R53" s="26"/>
      <c r="S53" s="26"/>
      <c r="T53" s="26"/>
      <c r="U53" s="26"/>
      <c r="X53" s="26"/>
    </row>
    <row r="54" spans="1:24">
      <c r="A54" s="12"/>
      <c r="B54" s="19"/>
      <c r="C54" s="13">
        <v>32</v>
      </c>
      <c r="D54" s="13" t="s">
        <v>46</v>
      </c>
      <c r="E54" s="13">
        <v>27</v>
      </c>
      <c r="F54" s="13">
        <v>64</v>
      </c>
      <c r="G54" s="13" t="s">
        <v>40</v>
      </c>
      <c r="H54" s="13" t="s">
        <v>92</v>
      </c>
      <c r="I54" s="13">
        <f t="shared" si="18"/>
        <v>3136</v>
      </c>
      <c r="J54" s="13">
        <f t="shared" si="27"/>
        <v>55360</v>
      </c>
      <c r="K54" s="24">
        <f t="shared" si="28"/>
        <v>347017216</v>
      </c>
      <c r="L54" s="24"/>
      <c r="M54" s="8">
        <f t="shared" si="29"/>
        <v>401408</v>
      </c>
      <c r="N54" s="22">
        <f t="shared" si="30"/>
        <v>100352</v>
      </c>
      <c r="O54" s="22"/>
      <c r="P54" s="5"/>
      <c r="Q54" s="26"/>
      <c r="R54" s="26"/>
      <c r="S54" s="26"/>
      <c r="T54" s="26"/>
      <c r="U54" s="26"/>
      <c r="X54" s="26"/>
    </row>
    <row r="55" spans="1:24">
      <c r="A55" s="12"/>
      <c r="B55" s="19" t="s">
        <v>88</v>
      </c>
      <c r="C55" s="13">
        <v>1</v>
      </c>
      <c r="D55" s="13" t="s">
        <v>46</v>
      </c>
      <c r="E55" s="13">
        <v>27</v>
      </c>
      <c r="F55" s="13">
        <v>512</v>
      </c>
      <c r="G55" s="13" t="s">
        <v>40</v>
      </c>
      <c r="H55" s="13" t="s">
        <v>92</v>
      </c>
      <c r="I55" s="13">
        <f t="shared" si="18"/>
        <v>3136</v>
      </c>
      <c r="J55" s="13">
        <v>0</v>
      </c>
      <c r="K55" s="22">
        <v>0</v>
      </c>
      <c r="L55" s="24">
        <f>I55*E55*F55</f>
        <v>43352064</v>
      </c>
      <c r="M55" s="22">
        <v>0</v>
      </c>
      <c r="N55" s="22">
        <v>0</v>
      </c>
      <c r="O55" s="22"/>
      <c r="P55" s="5"/>
      <c r="Q55" s="26"/>
      <c r="R55" s="26"/>
      <c r="S55" s="26"/>
      <c r="T55" s="26"/>
      <c r="U55" s="26"/>
      <c r="X55" s="26"/>
    </row>
    <row r="56" spans="1:24">
      <c r="A56" s="12"/>
      <c r="B56" s="19"/>
      <c r="C56" s="13">
        <v>512</v>
      </c>
      <c r="D56" s="13" t="s">
        <v>40</v>
      </c>
      <c r="E56" s="13">
        <v>1</v>
      </c>
      <c r="F56" s="13">
        <v>64</v>
      </c>
      <c r="G56" s="13" t="s">
        <v>40</v>
      </c>
      <c r="H56" s="13" t="s">
        <v>92</v>
      </c>
      <c r="I56" s="13">
        <f t="shared" si="18"/>
        <v>3136</v>
      </c>
      <c r="J56" s="13">
        <f t="shared" ref="J56:J62" si="31">C56*E56*F56+F56</f>
        <v>32832</v>
      </c>
      <c r="K56" s="24">
        <f t="shared" ref="K56:K62" si="32">I56*F56*(2*C56*E56+1)</f>
        <v>205721600</v>
      </c>
      <c r="L56" s="24"/>
      <c r="M56" s="8">
        <f t="shared" ref="M56:M62" si="33">4*I55*F55</f>
        <v>6422528</v>
      </c>
      <c r="N56" s="22">
        <f t="shared" ref="N56:N62" si="34">I55*F55</f>
        <v>1605632</v>
      </c>
      <c r="O56" s="22"/>
      <c r="P56" s="5"/>
      <c r="Q56" s="26"/>
      <c r="R56" s="26"/>
      <c r="S56" s="26"/>
      <c r="T56" s="26"/>
      <c r="U56" s="26"/>
      <c r="X56" s="26"/>
    </row>
    <row r="57" spans="1:24">
      <c r="A57" s="12"/>
      <c r="B57" s="19" t="s">
        <v>89</v>
      </c>
      <c r="C57" s="13">
        <v>0</v>
      </c>
      <c r="D57" s="13"/>
      <c r="E57" s="13"/>
      <c r="F57" s="13">
        <v>528</v>
      </c>
      <c r="G57" s="13"/>
      <c r="H57" s="13" t="s">
        <v>92</v>
      </c>
      <c r="I57" s="13">
        <f t="shared" si="18"/>
        <v>3136</v>
      </c>
      <c r="J57" s="13">
        <f t="shared" si="31"/>
        <v>528</v>
      </c>
      <c r="K57" s="24">
        <f t="shared" si="32"/>
        <v>1655808</v>
      </c>
      <c r="L57" s="24"/>
      <c r="M57" s="8">
        <f t="shared" si="33"/>
        <v>802816</v>
      </c>
      <c r="N57" s="22">
        <f t="shared" si="34"/>
        <v>200704</v>
      </c>
      <c r="O57" s="22"/>
      <c r="P57" s="5"/>
      <c r="Q57" s="26"/>
      <c r="R57" s="26"/>
      <c r="S57" s="26"/>
      <c r="T57" s="26"/>
      <c r="U57" s="26"/>
      <c r="X57" s="26"/>
    </row>
    <row r="58" spans="1:24">
      <c r="A58" s="12" t="s">
        <v>97</v>
      </c>
      <c r="B58" s="20" t="s">
        <v>85</v>
      </c>
      <c r="C58" s="13">
        <v>528</v>
      </c>
      <c r="D58" s="13" t="s">
        <v>40</v>
      </c>
      <c r="E58" s="13">
        <v>1</v>
      </c>
      <c r="F58" s="13">
        <v>256</v>
      </c>
      <c r="G58" s="13" t="s">
        <v>40</v>
      </c>
      <c r="H58" s="13" t="s">
        <v>92</v>
      </c>
      <c r="I58" s="13">
        <f t="shared" si="18"/>
        <v>3136</v>
      </c>
      <c r="J58" s="13">
        <f t="shared" si="31"/>
        <v>135424</v>
      </c>
      <c r="K58" s="24">
        <f t="shared" si="32"/>
        <v>848576512</v>
      </c>
      <c r="L58" s="24"/>
      <c r="M58" s="8">
        <f t="shared" si="33"/>
        <v>6623232</v>
      </c>
      <c r="N58" s="22">
        <f t="shared" si="34"/>
        <v>1655808</v>
      </c>
      <c r="O58" s="22"/>
      <c r="P58" s="5"/>
      <c r="Q58" s="26"/>
      <c r="R58" s="26"/>
      <c r="S58" s="26"/>
      <c r="T58" s="26"/>
      <c r="U58" s="26"/>
      <c r="X58" s="26"/>
    </row>
    <row r="59" spans="1:24">
      <c r="A59" s="12"/>
      <c r="B59" s="20" t="s">
        <v>86</v>
      </c>
      <c r="C59" s="13">
        <v>512</v>
      </c>
      <c r="D59" s="13" t="s">
        <v>40</v>
      </c>
      <c r="E59" s="13">
        <v>1</v>
      </c>
      <c r="F59" s="13">
        <v>160</v>
      </c>
      <c r="G59" s="13" t="s">
        <v>40</v>
      </c>
      <c r="H59" s="13" t="s">
        <v>92</v>
      </c>
      <c r="I59" s="13">
        <f t="shared" si="18"/>
        <v>3136</v>
      </c>
      <c r="J59" s="13">
        <f t="shared" si="31"/>
        <v>82080</v>
      </c>
      <c r="K59" s="24">
        <f t="shared" si="32"/>
        <v>514304000</v>
      </c>
      <c r="L59" s="24"/>
      <c r="M59" s="8">
        <f t="shared" si="33"/>
        <v>3211264</v>
      </c>
      <c r="N59" s="22">
        <f t="shared" si="34"/>
        <v>802816</v>
      </c>
      <c r="O59" s="22"/>
      <c r="P59" s="5"/>
      <c r="Q59" s="26"/>
      <c r="R59" s="26"/>
      <c r="S59" s="26"/>
      <c r="T59" s="26"/>
      <c r="U59" s="26"/>
      <c r="X59" s="26"/>
    </row>
    <row r="60" spans="1:24">
      <c r="A60" s="12"/>
      <c r="B60" s="20"/>
      <c r="C60" s="13">
        <v>160</v>
      </c>
      <c r="D60" s="13" t="s">
        <v>46</v>
      </c>
      <c r="E60" s="13">
        <v>27</v>
      </c>
      <c r="F60" s="13">
        <v>320</v>
      </c>
      <c r="G60" s="13" t="s">
        <v>40</v>
      </c>
      <c r="H60" s="13" t="s">
        <v>92</v>
      </c>
      <c r="I60" s="13">
        <f t="shared" si="18"/>
        <v>3136</v>
      </c>
      <c r="J60" s="13">
        <f t="shared" si="31"/>
        <v>1382720</v>
      </c>
      <c r="K60" s="24">
        <f t="shared" si="32"/>
        <v>8671416320</v>
      </c>
      <c r="L60" s="24"/>
      <c r="M60" s="8">
        <f t="shared" si="33"/>
        <v>2007040</v>
      </c>
      <c r="N60" s="22">
        <f t="shared" si="34"/>
        <v>501760</v>
      </c>
      <c r="O60" s="22"/>
      <c r="P60" s="5"/>
      <c r="Q60" s="26"/>
      <c r="R60" s="26"/>
      <c r="S60" s="26"/>
      <c r="T60" s="26"/>
      <c r="U60" s="26"/>
      <c r="X60" s="26"/>
    </row>
    <row r="61" spans="1:24">
      <c r="A61" s="12"/>
      <c r="B61" s="20" t="s">
        <v>87</v>
      </c>
      <c r="C61" s="13">
        <v>528</v>
      </c>
      <c r="D61" s="13" t="s">
        <v>40</v>
      </c>
      <c r="E61" s="13">
        <v>1</v>
      </c>
      <c r="F61" s="13">
        <v>32</v>
      </c>
      <c r="G61" s="13" t="s">
        <v>40</v>
      </c>
      <c r="H61" s="13" t="s">
        <v>92</v>
      </c>
      <c r="I61" s="13">
        <f t="shared" si="18"/>
        <v>3136</v>
      </c>
      <c r="J61" s="13">
        <f t="shared" si="31"/>
        <v>16928</v>
      </c>
      <c r="K61" s="24">
        <f t="shared" si="32"/>
        <v>106072064</v>
      </c>
      <c r="L61" s="24"/>
      <c r="M61" s="8">
        <f t="shared" si="33"/>
        <v>4014080</v>
      </c>
      <c r="N61" s="22">
        <f t="shared" si="34"/>
        <v>1003520</v>
      </c>
      <c r="O61" s="22"/>
      <c r="P61" s="5"/>
      <c r="Q61" s="26"/>
      <c r="R61" s="26"/>
      <c r="S61" s="26"/>
      <c r="T61" s="26"/>
      <c r="U61" s="26"/>
      <c r="X61" s="26"/>
    </row>
    <row r="62" spans="1:24">
      <c r="A62" s="12"/>
      <c r="B62" s="20"/>
      <c r="C62" s="13">
        <v>32</v>
      </c>
      <c r="D62" s="13" t="s">
        <v>46</v>
      </c>
      <c r="E62" s="13">
        <v>27</v>
      </c>
      <c r="F62" s="13">
        <v>128</v>
      </c>
      <c r="G62" s="13" t="s">
        <v>40</v>
      </c>
      <c r="H62" s="13" t="s">
        <v>92</v>
      </c>
      <c r="I62" s="13">
        <f t="shared" si="18"/>
        <v>3136</v>
      </c>
      <c r="J62" s="13">
        <f t="shared" si="31"/>
        <v>110720</v>
      </c>
      <c r="K62" s="24">
        <f t="shared" si="32"/>
        <v>694034432</v>
      </c>
      <c r="L62" s="24"/>
      <c r="M62" s="8">
        <f t="shared" si="33"/>
        <v>401408</v>
      </c>
      <c r="N62" s="22">
        <f t="shared" si="34"/>
        <v>100352</v>
      </c>
      <c r="O62" s="22"/>
      <c r="P62" s="5"/>
      <c r="Q62" s="26"/>
      <c r="R62" s="26"/>
      <c r="S62" s="26"/>
      <c r="T62" s="26"/>
      <c r="U62" s="26"/>
      <c r="X62" s="26"/>
    </row>
    <row r="63" spans="1:24">
      <c r="A63" s="12"/>
      <c r="B63" s="20" t="s">
        <v>88</v>
      </c>
      <c r="C63" s="13">
        <v>1</v>
      </c>
      <c r="D63" s="13" t="s">
        <v>46</v>
      </c>
      <c r="E63" s="13">
        <v>27</v>
      </c>
      <c r="F63" s="13">
        <v>528</v>
      </c>
      <c r="G63" s="13" t="s">
        <v>40</v>
      </c>
      <c r="H63" s="13" t="s">
        <v>92</v>
      </c>
      <c r="I63" s="13">
        <f t="shared" si="18"/>
        <v>3136</v>
      </c>
      <c r="J63" s="13">
        <v>0</v>
      </c>
      <c r="K63" s="22">
        <v>0</v>
      </c>
      <c r="L63" s="24">
        <f>I63*E63*F63</f>
        <v>44706816</v>
      </c>
      <c r="M63" s="22">
        <v>0</v>
      </c>
      <c r="N63" s="22">
        <v>0</v>
      </c>
      <c r="O63" s="22"/>
      <c r="P63" s="5"/>
      <c r="Q63" s="26"/>
      <c r="R63" s="26"/>
      <c r="S63" s="26"/>
      <c r="T63" s="26"/>
      <c r="U63" s="26"/>
      <c r="X63" s="26"/>
    </row>
    <row r="64" spans="1:24">
      <c r="A64" s="12"/>
      <c r="B64" s="20"/>
      <c r="C64" s="13">
        <v>528</v>
      </c>
      <c r="D64" s="13" t="s">
        <v>40</v>
      </c>
      <c r="E64" s="13">
        <v>1</v>
      </c>
      <c r="F64" s="13">
        <v>128</v>
      </c>
      <c r="G64" s="13" t="s">
        <v>40</v>
      </c>
      <c r="H64" s="13" t="s">
        <v>92</v>
      </c>
      <c r="I64" s="13">
        <f t="shared" si="18"/>
        <v>3136</v>
      </c>
      <c r="J64" s="13">
        <f t="shared" ref="J64:J71" si="35">C64*E64*F64+F64</f>
        <v>67712</v>
      </c>
      <c r="K64" s="24">
        <f t="shared" ref="K64:K71" si="36">I64*F64*(2*C64*E64+1)</f>
        <v>424288256</v>
      </c>
      <c r="L64" s="24"/>
      <c r="M64" s="8">
        <f t="shared" ref="M64:M71" si="37">4*I63*F63</f>
        <v>6623232</v>
      </c>
      <c r="N64" s="22">
        <f t="shared" ref="N64:N71" si="38">I63*F63</f>
        <v>1655808</v>
      </c>
      <c r="O64" s="22"/>
      <c r="P64" s="5"/>
      <c r="Q64" s="26"/>
      <c r="R64" s="26"/>
      <c r="S64" s="26"/>
      <c r="T64" s="26"/>
      <c r="U64" s="26"/>
      <c r="X64" s="26"/>
    </row>
    <row r="65" spans="1:24">
      <c r="A65" s="12"/>
      <c r="B65" s="20" t="s">
        <v>89</v>
      </c>
      <c r="C65" s="13">
        <v>0</v>
      </c>
      <c r="D65" s="13"/>
      <c r="E65" s="13"/>
      <c r="F65" s="13">
        <v>832</v>
      </c>
      <c r="G65" s="13"/>
      <c r="H65" s="13" t="s">
        <v>92</v>
      </c>
      <c r="I65" s="13">
        <f t="shared" si="18"/>
        <v>3136</v>
      </c>
      <c r="J65" s="13">
        <f t="shared" si="35"/>
        <v>832</v>
      </c>
      <c r="K65" s="24">
        <f t="shared" si="36"/>
        <v>2609152</v>
      </c>
      <c r="L65" s="24"/>
      <c r="M65" s="8">
        <f t="shared" si="37"/>
        <v>1605632</v>
      </c>
      <c r="N65" s="22">
        <f t="shared" si="38"/>
        <v>401408</v>
      </c>
      <c r="O65" s="22"/>
      <c r="P65" s="5"/>
      <c r="Q65" s="26"/>
      <c r="R65" s="26"/>
      <c r="S65" s="26"/>
      <c r="T65" s="26"/>
      <c r="U65" s="26"/>
      <c r="X65" s="26"/>
    </row>
    <row r="66" spans="1:24">
      <c r="A66" s="12" t="s">
        <v>98</v>
      </c>
      <c r="B66" s="12"/>
      <c r="C66" s="13">
        <v>1</v>
      </c>
      <c r="D66" s="13" t="s">
        <v>49</v>
      </c>
      <c r="E66" s="13">
        <v>8</v>
      </c>
      <c r="F66" s="13">
        <v>832</v>
      </c>
      <c r="G66" s="13" t="s">
        <v>49</v>
      </c>
      <c r="H66" s="13" t="s">
        <v>99</v>
      </c>
      <c r="I66" s="13">
        <f t="shared" ref="I66:I82" si="39">8*7*7</f>
        <v>392</v>
      </c>
      <c r="J66" s="13">
        <v>0</v>
      </c>
      <c r="K66" s="22">
        <v>0</v>
      </c>
      <c r="L66" s="24">
        <f>I66*E66*F66</f>
        <v>2609152</v>
      </c>
      <c r="M66" s="22">
        <v>0</v>
      </c>
      <c r="N66" s="22">
        <v>0</v>
      </c>
      <c r="O66" s="22"/>
      <c r="P66" s="5"/>
      <c r="Q66" s="26"/>
      <c r="R66" s="26"/>
      <c r="S66" s="26"/>
      <c r="T66" s="26"/>
      <c r="U66" s="26"/>
      <c r="X66" s="26"/>
    </row>
    <row r="67" spans="1:24">
      <c r="A67" s="12" t="s">
        <v>100</v>
      </c>
      <c r="B67" s="27" t="s">
        <v>85</v>
      </c>
      <c r="C67" s="13">
        <v>832</v>
      </c>
      <c r="D67" s="13" t="s">
        <v>40</v>
      </c>
      <c r="E67" s="13">
        <v>1</v>
      </c>
      <c r="F67" s="13">
        <v>256</v>
      </c>
      <c r="G67" s="13" t="s">
        <v>40</v>
      </c>
      <c r="H67" s="13" t="s">
        <v>99</v>
      </c>
      <c r="I67" s="13">
        <f t="shared" si="39"/>
        <v>392</v>
      </c>
      <c r="J67" s="13">
        <f t="shared" si="35"/>
        <v>213248</v>
      </c>
      <c r="K67" s="24">
        <f t="shared" si="36"/>
        <v>167086080</v>
      </c>
      <c r="L67" s="24"/>
      <c r="M67" s="8">
        <f t="shared" si="37"/>
        <v>1304576</v>
      </c>
      <c r="N67" s="22">
        <f t="shared" si="38"/>
        <v>326144</v>
      </c>
      <c r="O67" s="22"/>
      <c r="P67" s="5"/>
      <c r="Q67" s="26"/>
      <c r="R67" s="26"/>
      <c r="S67" s="26"/>
      <c r="T67" s="26"/>
      <c r="U67" s="26"/>
      <c r="X67" s="26"/>
    </row>
    <row r="68" spans="1:24">
      <c r="A68" s="12"/>
      <c r="B68" s="27" t="s">
        <v>86</v>
      </c>
      <c r="C68" s="13">
        <v>832</v>
      </c>
      <c r="D68" s="13" t="s">
        <v>40</v>
      </c>
      <c r="E68" s="13">
        <v>1</v>
      </c>
      <c r="F68" s="13">
        <v>160</v>
      </c>
      <c r="G68" s="13" t="s">
        <v>40</v>
      </c>
      <c r="H68" s="13" t="s">
        <v>99</v>
      </c>
      <c r="I68" s="13">
        <f t="shared" si="39"/>
        <v>392</v>
      </c>
      <c r="J68" s="13">
        <f t="shared" si="35"/>
        <v>133280</v>
      </c>
      <c r="K68" s="24">
        <f t="shared" si="36"/>
        <v>104428800</v>
      </c>
      <c r="L68" s="24"/>
      <c r="M68" s="8">
        <f t="shared" si="37"/>
        <v>401408</v>
      </c>
      <c r="N68" s="22">
        <f t="shared" si="38"/>
        <v>100352</v>
      </c>
      <c r="O68" s="22"/>
      <c r="P68" s="5"/>
      <c r="Q68" s="26"/>
      <c r="R68" s="26"/>
      <c r="S68" s="26"/>
      <c r="T68" s="26"/>
      <c r="U68" s="26"/>
      <c r="X68" s="26"/>
    </row>
    <row r="69" spans="1:24">
      <c r="A69" s="12"/>
      <c r="B69" s="27"/>
      <c r="C69" s="13">
        <v>160</v>
      </c>
      <c r="D69" s="13" t="s">
        <v>46</v>
      </c>
      <c r="E69" s="13">
        <v>27</v>
      </c>
      <c r="F69" s="13">
        <v>320</v>
      </c>
      <c r="G69" s="13" t="s">
        <v>40</v>
      </c>
      <c r="H69" s="13" t="s">
        <v>99</v>
      </c>
      <c r="I69" s="13">
        <f t="shared" si="39"/>
        <v>392</v>
      </c>
      <c r="J69" s="13">
        <f t="shared" si="35"/>
        <v>1382720</v>
      </c>
      <c r="K69" s="24">
        <f t="shared" si="36"/>
        <v>1083927040</v>
      </c>
      <c r="L69" s="24"/>
      <c r="M69" s="8">
        <f t="shared" si="37"/>
        <v>250880</v>
      </c>
      <c r="N69" s="22">
        <f t="shared" si="38"/>
        <v>62720</v>
      </c>
      <c r="O69" s="22"/>
      <c r="P69" s="5"/>
      <c r="Q69" s="26"/>
      <c r="R69" s="26"/>
      <c r="S69" s="26"/>
      <c r="T69" s="26"/>
      <c r="U69" s="26"/>
      <c r="X69" s="26"/>
    </row>
    <row r="70" spans="1:24">
      <c r="A70" s="12"/>
      <c r="B70" s="27" t="s">
        <v>87</v>
      </c>
      <c r="C70" s="13">
        <v>832</v>
      </c>
      <c r="D70" s="13" t="s">
        <v>40</v>
      </c>
      <c r="E70" s="13">
        <v>1</v>
      </c>
      <c r="F70" s="13">
        <v>32</v>
      </c>
      <c r="G70" s="13" t="s">
        <v>40</v>
      </c>
      <c r="H70" s="13" t="s">
        <v>99</v>
      </c>
      <c r="I70" s="13">
        <f t="shared" si="39"/>
        <v>392</v>
      </c>
      <c r="J70" s="13">
        <f t="shared" si="35"/>
        <v>26656</v>
      </c>
      <c r="K70" s="24">
        <f t="shared" si="36"/>
        <v>20885760</v>
      </c>
      <c r="L70" s="24"/>
      <c r="M70" s="8">
        <f t="shared" si="37"/>
        <v>501760</v>
      </c>
      <c r="N70" s="22">
        <f t="shared" si="38"/>
        <v>125440</v>
      </c>
      <c r="O70" s="22"/>
      <c r="P70" s="5"/>
      <c r="Q70" s="26"/>
      <c r="R70" s="26"/>
      <c r="S70" s="26"/>
      <c r="T70" s="26"/>
      <c r="U70" s="26"/>
      <c r="X70" s="26"/>
    </row>
    <row r="71" spans="1:24">
      <c r="A71" s="12"/>
      <c r="B71" s="27"/>
      <c r="C71" s="13">
        <v>32</v>
      </c>
      <c r="D71" s="13" t="s">
        <v>46</v>
      </c>
      <c r="E71" s="13">
        <v>27</v>
      </c>
      <c r="F71" s="13">
        <v>128</v>
      </c>
      <c r="G71" s="13" t="s">
        <v>40</v>
      </c>
      <c r="H71" s="13" t="s">
        <v>99</v>
      </c>
      <c r="I71" s="13">
        <f t="shared" si="39"/>
        <v>392</v>
      </c>
      <c r="J71" s="13">
        <f t="shared" si="35"/>
        <v>110720</v>
      </c>
      <c r="K71" s="24">
        <f t="shared" si="36"/>
        <v>86754304</v>
      </c>
      <c r="L71" s="24"/>
      <c r="M71" s="8">
        <f t="shared" si="37"/>
        <v>50176</v>
      </c>
      <c r="N71" s="22">
        <f t="shared" si="38"/>
        <v>12544</v>
      </c>
      <c r="O71" s="22"/>
      <c r="P71" s="5"/>
      <c r="Q71" s="26"/>
      <c r="R71" s="26"/>
      <c r="S71" s="26"/>
      <c r="T71" s="26"/>
      <c r="U71" s="26"/>
      <c r="X71" s="26"/>
    </row>
    <row r="72" spans="1:24">
      <c r="A72" s="12"/>
      <c r="B72" s="27" t="s">
        <v>88</v>
      </c>
      <c r="C72" s="13">
        <v>1</v>
      </c>
      <c r="D72" s="13" t="s">
        <v>46</v>
      </c>
      <c r="E72" s="13">
        <v>27</v>
      </c>
      <c r="F72" s="13">
        <v>832</v>
      </c>
      <c r="G72" s="13" t="s">
        <v>40</v>
      </c>
      <c r="H72" s="13" t="s">
        <v>99</v>
      </c>
      <c r="I72" s="13">
        <f t="shared" si="39"/>
        <v>392</v>
      </c>
      <c r="J72" s="13">
        <v>0</v>
      </c>
      <c r="K72" s="22">
        <v>0</v>
      </c>
      <c r="L72" s="24">
        <f>I72*E72*F72</f>
        <v>8805888</v>
      </c>
      <c r="M72" s="22">
        <v>0</v>
      </c>
      <c r="N72" s="22">
        <v>0</v>
      </c>
      <c r="O72" s="22"/>
      <c r="P72" s="5"/>
      <c r="Q72" s="26"/>
      <c r="R72" s="26"/>
      <c r="S72" s="26"/>
      <c r="T72" s="26"/>
      <c r="U72" s="26"/>
      <c r="X72" s="26"/>
    </row>
    <row r="73" spans="1:24">
      <c r="A73" s="12"/>
      <c r="B73" s="27"/>
      <c r="C73" s="13">
        <v>832</v>
      </c>
      <c r="D73" s="13" t="s">
        <v>40</v>
      </c>
      <c r="E73" s="13">
        <v>1</v>
      </c>
      <c r="F73" s="13">
        <v>128</v>
      </c>
      <c r="G73" s="13" t="s">
        <v>40</v>
      </c>
      <c r="H73" s="13" t="s">
        <v>99</v>
      </c>
      <c r="I73" s="13">
        <f t="shared" si="39"/>
        <v>392</v>
      </c>
      <c r="J73" s="13">
        <f t="shared" ref="J73:J79" si="40">C73*E73*F73+F73</f>
        <v>106624</v>
      </c>
      <c r="K73" s="24">
        <f t="shared" ref="K73:K79" si="41">I73*F73*(2*C73*E73+1)</f>
        <v>83543040</v>
      </c>
      <c r="L73" s="24"/>
      <c r="M73" s="8">
        <f t="shared" ref="M73:M79" si="42">4*I72*F72</f>
        <v>1304576</v>
      </c>
      <c r="N73" s="22">
        <f t="shared" ref="N73:N79" si="43">I72*F72</f>
        <v>326144</v>
      </c>
      <c r="O73" s="22"/>
      <c r="P73" s="5"/>
      <c r="Q73" s="26"/>
      <c r="R73" s="26"/>
      <c r="S73" s="26"/>
      <c r="T73" s="26"/>
      <c r="U73" s="26"/>
      <c r="X73" s="26"/>
    </row>
    <row r="74" spans="1:24">
      <c r="A74" s="12"/>
      <c r="B74" s="27" t="s">
        <v>89</v>
      </c>
      <c r="C74" s="13">
        <v>0</v>
      </c>
      <c r="D74" s="13"/>
      <c r="E74" s="13"/>
      <c r="F74" s="13">
        <v>832</v>
      </c>
      <c r="G74" s="13"/>
      <c r="H74" s="13" t="s">
        <v>99</v>
      </c>
      <c r="I74" s="13">
        <f t="shared" si="39"/>
        <v>392</v>
      </c>
      <c r="J74" s="13">
        <f t="shared" si="40"/>
        <v>832</v>
      </c>
      <c r="K74" s="24">
        <f t="shared" si="41"/>
        <v>326144</v>
      </c>
      <c r="L74" s="24"/>
      <c r="M74" s="8">
        <f t="shared" si="42"/>
        <v>200704</v>
      </c>
      <c r="N74" s="22">
        <f t="shared" si="43"/>
        <v>50176</v>
      </c>
      <c r="O74" s="22"/>
      <c r="P74" s="5"/>
      <c r="Q74" s="26"/>
      <c r="R74" s="26"/>
      <c r="S74" s="26"/>
      <c r="T74" s="26"/>
      <c r="U74" s="26"/>
      <c r="X74" s="26"/>
    </row>
    <row r="75" spans="1:24">
      <c r="A75" s="12" t="s">
        <v>101</v>
      </c>
      <c r="B75" s="28" t="s">
        <v>85</v>
      </c>
      <c r="C75" s="13">
        <v>832</v>
      </c>
      <c r="D75" s="13" t="s">
        <v>40</v>
      </c>
      <c r="E75" s="13">
        <v>1</v>
      </c>
      <c r="F75" s="13">
        <v>384</v>
      </c>
      <c r="G75" s="13" t="s">
        <v>40</v>
      </c>
      <c r="H75" s="13" t="s">
        <v>99</v>
      </c>
      <c r="I75" s="13">
        <f t="shared" si="39"/>
        <v>392</v>
      </c>
      <c r="J75" s="13">
        <f t="shared" si="40"/>
        <v>319872</v>
      </c>
      <c r="K75" s="24">
        <f t="shared" si="41"/>
        <v>250629120</v>
      </c>
      <c r="L75" s="24"/>
      <c r="M75" s="8">
        <f t="shared" si="42"/>
        <v>1304576</v>
      </c>
      <c r="N75" s="22">
        <f t="shared" si="43"/>
        <v>326144</v>
      </c>
      <c r="O75" s="22"/>
      <c r="P75" s="5"/>
      <c r="Q75" s="26"/>
      <c r="R75" s="26"/>
      <c r="S75" s="26"/>
      <c r="T75" s="26"/>
      <c r="U75" s="26"/>
      <c r="X75" s="26"/>
    </row>
    <row r="76" spans="1:24">
      <c r="A76" s="12"/>
      <c r="B76" s="28" t="s">
        <v>86</v>
      </c>
      <c r="C76" s="13">
        <v>832</v>
      </c>
      <c r="D76" s="13" t="s">
        <v>40</v>
      </c>
      <c r="E76" s="13">
        <v>1</v>
      </c>
      <c r="F76" s="13">
        <v>192</v>
      </c>
      <c r="G76" s="13" t="s">
        <v>40</v>
      </c>
      <c r="H76" s="13" t="s">
        <v>99</v>
      </c>
      <c r="I76" s="13">
        <f t="shared" si="39"/>
        <v>392</v>
      </c>
      <c r="J76" s="13">
        <f t="shared" si="40"/>
        <v>159936</v>
      </c>
      <c r="K76" s="24">
        <f t="shared" si="41"/>
        <v>125314560</v>
      </c>
      <c r="L76" s="24"/>
      <c r="M76" s="8">
        <f t="shared" si="42"/>
        <v>602112</v>
      </c>
      <c r="N76" s="22">
        <f t="shared" si="43"/>
        <v>150528</v>
      </c>
      <c r="O76" s="22"/>
      <c r="P76" s="5"/>
      <c r="Q76" s="26"/>
      <c r="R76" s="26"/>
      <c r="S76" s="26"/>
      <c r="T76" s="26"/>
      <c r="U76" s="26"/>
      <c r="X76" s="26"/>
    </row>
    <row r="77" spans="1:24">
      <c r="A77" s="12"/>
      <c r="B77" s="28"/>
      <c r="C77" s="13">
        <v>192</v>
      </c>
      <c r="D77" s="13" t="s">
        <v>46</v>
      </c>
      <c r="E77" s="13">
        <v>27</v>
      </c>
      <c r="F77" s="13">
        <v>384</v>
      </c>
      <c r="G77" s="13" t="s">
        <v>40</v>
      </c>
      <c r="H77" s="13" t="s">
        <v>99</v>
      </c>
      <c r="I77" s="13">
        <f t="shared" si="39"/>
        <v>392</v>
      </c>
      <c r="J77" s="13">
        <f t="shared" si="40"/>
        <v>1991040</v>
      </c>
      <c r="K77" s="24">
        <f t="shared" si="41"/>
        <v>1560824832</v>
      </c>
      <c r="L77" s="24"/>
      <c r="M77" s="8">
        <f t="shared" si="42"/>
        <v>301056</v>
      </c>
      <c r="N77" s="22">
        <f t="shared" si="43"/>
        <v>75264</v>
      </c>
      <c r="O77" s="22"/>
      <c r="P77" s="5"/>
      <c r="Q77" s="26"/>
      <c r="R77" s="26"/>
      <c r="S77" s="26"/>
      <c r="T77" s="26"/>
      <c r="U77" s="26"/>
      <c r="X77" s="26"/>
    </row>
    <row r="78" spans="1:24">
      <c r="A78" s="12"/>
      <c r="B78" s="28" t="s">
        <v>87</v>
      </c>
      <c r="C78" s="13">
        <v>832</v>
      </c>
      <c r="D78" s="13" t="s">
        <v>40</v>
      </c>
      <c r="E78" s="13">
        <v>1</v>
      </c>
      <c r="F78" s="13">
        <v>48</v>
      </c>
      <c r="G78" s="13" t="s">
        <v>40</v>
      </c>
      <c r="H78" s="13" t="s">
        <v>99</v>
      </c>
      <c r="I78" s="13">
        <f t="shared" si="39"/>
        <v>392</v>
      </c>
      <c r="J78" s="13">
        <f t="shared" si="40"/>
        <v>39984</v>
      </c>
      <c r="K78" s="24">
        <f t="shared" si="41"/>
        <v>31328640</v>
      </c>
      <c r="L78" s="24"/>
      <c r="M78" s="8">
        <f t="shared" si="42"/>
        <v>602112</v>
      </c>
      <c r="N78" s="22">
        <f t="shared" si="43"/>
        <v>150528</v>
      </c>
      <c r="O78" s="22"/>
      <c r="P78" s="5"/>
      <c r="Q78" s="26"/>
      <c r="R78" s="26"/>
      <c r="S78" s="26"/>
      <c r="T78" s="26"/>
      <c r="U78" s="26"/>
      <c r="X78" s="26"/>
    </row>
    <row r="79" spans="1:24">
      <c r="A79" s="12"/>
      <c r="B79" s="28"/>
      <c r="C79" s="13">
        <v>48</v>
      </c>
      <c r="D79" s="13" t="s">
        <v>46</v>
      </c>
      <c r="E79" s="13">
        <v>27</v>
      </c>
      <c r="F79" s="13">
        <v>128</v>
      </c>
      <c r="G79" s="13" t="s">
        <v>40</v>
      </c>
      <c r="H79" s="13" t="s">
        <v>99</v>
      </c>
      <c r="I79" s="13">
        <f t="shared" si="39"/>
        <v>392</v>
      </c>
      <c r="J79" s="13">
        <f t="shared" si="40"/>
        <v>166016</v>
      </c>
      <c r="K79" s="24">
        <f t="shared" si="41"/>
        <v>130106368</v>
      </c>
      <c r="L79" s="24"/>
      <c r="M79" s="8">
        <f t="shared" si="42"/>
        <v>75264</v>
      </c>
      <c r="N79" s="22">
        <f t="shared" si="43"/>
        <v>18816</v>
      </c>
      <c r="O79" s="22"/>
      <c r="P79" s="5"/>
      <c r="Q79" s="26"/>
      <c r="R79" s="26"/>
      <c r="S79" s="26"/>
      <c r="T79" s="26"/>
      <c r="U79" s="26"/>
      <c r="X79" s="26"/>
    </row>
    <row r="80" spans="1:24">
      <c r="A80" s="12"/>
      <c r="B80" s="28" t="s">
        <v>88</v>
      </c>
      <c r="C80" s="13">
        <v>1</v>
      </c>
      <c r="D80" s="13" t="s">
        <v>46</v>
      </c>
      <c r="E80" s="13">
        <v>27</v>
      </c>
      <c r="F80" s="13">
        <v>832</v>
      </c>
      <c r="G80" s="13" t="s">
        <v>40</v>
      </c>
      <c r="H80" s="13" t="s">
        <v>99</v>
      </c>
      <c r="I80" s="13">
        <f t="shared" si="39"/>
        <v>392</v>
      </c>
      <c r="J80" s="13">
        <v>0</v>
      </c>
      <c r="K80" s="22">
        <v>0</v>
      </c>
      <c r="L80" s="24">
        <f t="shared" ref="L80:L85" si="44">I80*E80*F80</f>
        <v>8805888</v>
      </c>
      <c r="M80" s="22">
        <v>0</v>
      </c>
      <c r="N80" s="22">
        <v>0</v>
      </c>
      <c r="O80" s="22"/>
      <c r="P80" s="5"/>
      <c r="Q80" s="26"/>
      <c r="R80" s="26"/>
      <c r="S80" s="26"/>
      <c r="T80" s="26"/>
      <c r="U80" s="26"/>
      <c r="X80" s="26"/>
    </row>
    <row r="81" spans="1:24">
      <c r="A81" s="12"/>
      <c r="B81" s="28"/>
      <c r="C81" s="13">
        <v>832</v>
      </c>
      <c r="D81" s="13" t="s">
        <v>40</v>
      </c>
      <c r="E81" s="13">
        <v>1</v>
      </c>
      <c r="F81" s="13">
        <v>128</v>
      </c>
      <c r="G81" s="13" t="s">
        <v>40</v>
      </c>
      <c r="H81" s="13" t="s">
        <v>99</v>
      </c>
      <c r="I81" s="13">
        <f t="shared" si="39"/>
        <v>392</v>
      </c>
      <c r="J81" s="13">
        <f t="shared" ref="J81:J84" si="45">C81*E81*F81+F81</f>
        <v>106624</v>
      </c>
      <c r="K81" s="24">
        <f t="shared" ref="K81:K84" si="46">I81*F81*(2*C81*E81+1)</f>
        <v>83543040</v>
      </c>
      <c r="L81" s="24"/>
      <c r="M81" s="8">
        <f>4*I80*F80</f>
        <v>1304576</v>
      </c>
      <c r="N81" s="22">
        <f>I80*F80</f>
        <v>326144</v>
      </c>
      <c r="O81" s="22"/>
      <c r="P81" s="5"/>
      <c r="Q81" s="26"/>
      <c r="R81" s="26"/>
      <c r="S81" s="26"/>
      <c r="T81" s="26"/>
      <c r="U81" s="26"/>
      <c r="X81" s="26"/>
    </row>
    <row r="82" spans="1:24">
      <c r="A82" s="12"/>
      <c r="B82" s="28" t="s">
        <v>89</v>
      </c>
      <c r="C82" s="13">
        <v>0</v>
      </c>
      <c r="D82" s="13"/>
      <c r="E82" s="13"/>
      <c r="F82" s="13">
        <v>1024</v>
      </c>
      <c r="G82" s="13"/>
      <c r="H82" s="13" t="s">
        <v>99</v>
      </c>
      <c r="I82" s="13">
        <f t="shared" si="39"/>
        <v>392</v>
      </c>
      <c r="J82" s="13">
        <f t="shared" si="45"/>
        <v>1024</v>
      </c>
      <c r="K82" s="24">
        <f t="shared" si="46"/>
        <v>401408</v>
      </c>
      <c r="L82" s="24"/>
      <c r="M82" s="8">
        <f>4*I81*F81</f>
        <v>200704</v>
      </c>
      <c r="N82" s="22">
        <f>I81*F81</f>
        <v>50176</v>
      </c>
      <c r="O82" s="22"/>
      <c r="P82" s="5"/>
      <c r="Q82" s="26"/>
      <c r="R82" s="26"/>
      <c r="S82" s="26"/>
      <c r="T82" s="26"/>
      <c r="U82" s="26"/>
      <c r="X82" s="26"/>
    </row>
    <row r="83" spans="1:24">
      <c r="A83" s="12" t="s">
        <v>102</v>
      </c>
      <c r="B83" s="12"/>
      <c r="C83" s="13">
        <v>1</v>
      </c>
      <c r="D83" s="13" t="s">
        <v>60</v>
      </c>
      <c r="E83" s="13">
        <v>98</v>
      </c>
      <c r="F83" s="13">
        <v>1024</v>
      </c>
      <c r="G83" s="13" t="s">
        <v>40</v>
      </c>
      <c r="H83" s="13" t="s">
        <v>107</v>
      </c>
      <c r="I83" s="13">
        <f>7*1*1</f>
        <v>7</v>
      </c>
      <c r="J83" s="13">
        <v>0</v>
      </c>
      <c r="K83" s="22">
        <v>0</v>
      </c>
      <c r="L83" s="24">
        <f t="shared" si="44"/>
        <v>702464</v>
      </c>
      <c r="M83" s="22">
        <v>0</v>
      </c>
      <c r="N83" s="22">
        <v>0</v>
      </c>
      <c r="O83" s="22"/>
      <c r="P83" s="5"/>
      <c r="Q83" s="26"/>
      <c r="R83" s="26"/>
      <c r="S83" s="26"/>
      <c r="T83" s="26"/>
      <c r="U83" s="26"/>
      <c r="X83" s="26"/>
    </row>
    <row r="84" spans="1:24">
      <c r="A84" s="12" t="s">
        <v>104</v>
      </c>
      <c r="B84" s="12"/>
      <c r="C84" s="13">
        <v>1024</v>
      </c>
      <c r="D84" s="13" t="s">
        <v>40</v>
      </c>
      <c r="E84" s="13">
        <v>1</v>
      </c>
      <c r="F84" s="13">
        <v>16</v>
      </c>
      <c r="G84" s="13" t="s">
        <v>40</v>
      </c>
      <c r="H84" s="13" t="s">
        <v>107</v>
      </c>
      <c r="I84" s="13">
        <f>7*1*1</f>
        <v>7</v>
      </c>
      <c r="J84" s="13">
        <f t="shared" si="45"/>
        <v>16400</v>
      </c>
      <c r="K84" s="24">
        <f t="shared" si="46"/>
        <v>229488</v>
      </c>
      <c r="L84" s="24"/>
      <c r="M84" s="22">
        <v>0</v>
      </c>
      <c r="N84" s="22">
        <v>0</v>
      </c>
      <c r="O84" s="22"/>
      <c r="P84" s="5"/>
      <c r="Q84" s="26"/>
      <c r="R84" s="26"/>
      <c r="S84" s="26"/>
      <c r="T84" s="26"/>
      <c r="U84" s="26"/>
      <c r="X84" s="26"/>
    </row>
    <row r="85" spans="1:24">
      <c r="A85" s="12" t="s">
        <v>105</v>
      </c>
      <c r="B85" s="12"/>
      <c r="C85" s="13">
        <v>1</v>
      </c>
      <c r="D85" s="13"/>
      <c r="E85" s="13"/>
      <c r="F85" s="13">
        <v>16</v>
      </c>
      <c r="G85" s="13"/>
      <c r="H85" s="13">
        <v>1</v>
      </c>
      <c r="I85" s="13">
        <v>1</v>
      </c>
      <c r="J85" s="13">
        <v>0</v>
      </c>
      <c r="K85" s="22">
        <v>0</v>
      </c>
      <c r="L85" s="24">
        <f t="shared" si="44"/>
        <v>0</v>
      </c>
      <c r="M85" s="22">
        <v>0</v>
      </c>
      <c r="N85" s="22">
        <v>0</v>
      </c>
      <c r="O85" s="22"/>
      <c r="P85" s="5"/>
      <c r="Q85" s="26"/>
      <c r="R85" s="26"/>
      <c r="S85" s="26"/>
      <c r="T85" s="26"/>
      <c r="U85" s="26"/>
      <c r="X85" s="26"/>
    </row>
    <row r="86" spans="1:24">
      <c r="A86" s="12"/>
      <c r="B86" s="12"/>
      <c r="C86" s="29"/>
      <c r="D86" s="13"/>
      <c r="E86" s="13"/>
      <c r="F86" s="13"/>
      <c r="G86" s="13"/>
      <c r="I86" s="13" t="s">
        <v>108</v>
      </c>
      <c r="J86" s="13">
        <f>SUM(J4:J85)</f>
        <v>12290800</v>
      </c>
      <c r="K86" s="31">
        <f t="shared" ref="K86:N86" si="47">SUM(K4:K85)</f>
        <v>204778639856</v>
      </c>
      <c r="L86" s="31">
        <f t="shared" si="47"/>
        <v>681590784</v>
      </c>
      <c r="M86" s="31">
        <f t="shared" si="47"/>
        <v>368868864</v>
      </c>
      <c r="N86" s="31">
        <f t="shared" si="47"/>
        <v>92217216</v>
      </c>
      <c r="O86" s="31">
        <f>SUM(K86:N86)</f>
        <v>205921316720</v>
      </c>
      <c r="P86" s="5"/>
      <c r="Q86" s="26"/>
      <c r="R86" s="26"/>
      <c r="S86" s="26"/>
      <c r="T86" s="26"/>
      <c r="U86" s="26"/>
      <c r="X86" s="26"/>
    </row>
    <row r="87" spans="8:16">
      <c r="H87" s="30"/>
      <c r="M87" s="32"/>
      <c r="N87" s="32"/>
      <c r="O87" s="32"/>
      <c r="P87" s="33"/>
    </row>
  </sheetData>
  <mergeCells count="63">
    <mergeCell ref="A9:A16"/>
    <mergeCell ref="A17:A24"/>
    <mergeCell ref="A26:A33"/>
    <mergeCell ref="A34:A41"/>
    <mergeCell ref="A42:A49"/>
    <mergeCell ref="A50:A57"/>
    <mergeCell ref="A58:A65"/>
    <mergeCell ref="A67:A74"/>
    <mergeCell ref="A75:A82"/>
    <mergeCell ref="B10:B11"/>
    <mergeCell ref="B12:B13"/>
    <mergeCell ref="B14:B15"/>
    <mergeCell ref="B18:B19"/>
    <mergeCell ref="B20:B21"/>
    <mergeCell ref="B22:B23"/>
    <mergeCell ref="B27:B28"/>
    <mergeCell ref="B29:B30"/>
    <mergeCell ref="B31:B32"/>
    <mergeCell ref="B35:B36"/>
    <mergeCell ref="B37:B38"/>
    <mergeCell ref="B39:B40"/>
    <mergeCell ref="B43:B44"/>
    <mergeCell ref="B45:B46"/>
    <mergeCell ref="B47:B48"/>
    <mergeCell ref="B51:B52"/>
    <mergeCell ref="B53:B54"/>
    <mergeCell ref="B55:B56"/>
    <mergeCell ref="B59:B60"/>
    <mergeCell ref="B61:B62"/>
    <mergeCell ref="B63:B64"/>
    <mergeCell ref="B68:B69"/>
    <mergeCell ref="B70:B71"/>
    <mergeCell ref="B72:B73"/>
    <mergeCell ref="B76:B77"/>
    <mergeCell ref="B78:B79"/>
    <mergeCell ref="B80:B81"/>
    <mergeCell ref="T11:T12"/>
    <mergeCell ref="T13:T14"/>
    <mergeCell ref="T15:T16"/>
    <mergeCell ref="T19:T20"/>
    <mergeCell ref="T21:T22"/>
    <mergeCell ref="T23:T24"/>
    <mergeCell ref="T28:T29"/>
    <mergeCell ref="T30:T31"/>
    <mergeCell ref="T32:T33"/>
    <mergeCell ref="T37:T38"/>
    <mergeCell ref="T39:T40"/>
    <mergeCell ref="T41:T42"/>
    <mergeCell ref="T45:T46"/>
    <mergeCell ref="T47:T48"/>
    <mergeCell ref="T49:T50"/>
    <mergeCell ref="T53:T54"/>
    <mergeCell ref="T55:T56"/>
    <mergeCell ref="T57:T58"/>
    <mergeCell ref="T61:T62"/>
    <mergeCell ref="T63:T64"/>
    <mergeCell ref="T65:T66"/>
    <mergeCell ref="T71:T72"/>
    <mergeCell ref="T73:T74"/>
    <mergeCell ref="T75:T76"/>
    <mergeCell ref="T79:T80"/>
    <mergeCell ref="T81:T82"/>
    <mergeCell ref="T83:T84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G4" sqref="G4"/>
    </sheetView>
  </sheetViews>
  <sheetFormatPr defaultColWidth="9" defaultRowHeight="14.4"/>
  <cols>
    <col min="1" max="1" width="12.6296296296296" customWidth="1"/>
    <col min="2" max="2" width="9.37962962962963" customWidth="1"/>
    <col min="3" max="4" width="9.5" customWidth="1"/>
    <col min="5" max="5" width="7.87962962962963" customWidth="1"/>
    <col min="6" max="6" width="11.25" customWidth="1"/>
    <col min="7" max="7" width="7.87962962962963" customWidth="1"/>
    <col min="8" max="8" width="8.37962962962963" customWidth="1"/>
    <col min="9" max="9" width="10.1296296296296" customWidth="1"/>
    <col min="10" max="10" width="14.8796296296296" customWidth="1"/>
    <col min="11" max="11" width="17.1296296296296" customWidth="1"/>
    <col min="12" max="12" width="7.25" customWidth="1"/>
  </cols>
  <sheetData>
    <row r="1" s="2" customFormat="1" ht="15" spans="1:12">
      <c r="A1" s="2" t="s">
        <v>9</v>
      </c>
      <c r="B1" s="2" t="s">
        <v>10</v>
      </c>
      <c r="C1" s="3" t="s">
        <v>11</v>
      </c>
      <c r="D1" s="3" t="s">
        <v>109</v>
      </c>
      <c r="E1" s="3" t="s">
        <v>16</v>
      </c>
      <c r="F1" s="3" t="s">
        <v>17</v>
      </c>
      <c r="G1" s="3" t="s">
        <v>1</v>
      </c>
      <c r="H1" s="4" t="s">
        <v>20</v>
      </c>
      <c r="I1" s="4" t="s">
        <v>110</v>
      </c>
      <c r="J1" s="8" t="s">
        <v>111</v>
      </c>
      <c r="K1" s="8" t="s">
        <v>112</v>
      </c>
      <c r="L1" s="4" t="s">
        <v>22</v>
      </c>
    </row>
    <row r="2" s="2" customFormat="1" ht="15" spans="1:12">
      <c r="A2" s="2" t="s">
        <v>36</v>
      </c>
      <c r="D2" s="3">
        <v>512</v>
      </c>
      <c r="E2" s="3" t="s">
        <v>113</v>
      </c>
      <c r="F2" s="3">
        <f>256*512</f>
        <v>131072</v>
      </c>
      <c r="G2" s="2">
        <v>0</v>
      </c>
      <c r="H2" s="4"/>
      <c r="I2" s="4"/>
      <c r="J2" s="8"/>
      <c r="K2" s="8"/>
      <c r="L2" s="4"/>
    </row>
    <row r="3" s="2" customFormat="1" ht="15" spans="1:12">
      <c r="A3" s="2" t="s">
        <v>89</v>
      </c>
      <c r="C3" s="3"/>
      <c r="D3" s="3">
        <v>1024</v>
      </c>
      <c r="E3" s="3" t="s">
        <v>114</v>
      </c>
      <c r="F3" s="3">
        <f>256*1024</f>
        <v>262144</v>
      </c>
      <c r="G3" s="2">
        <v>0</v>
      </c>
      <c r="H3" s="4"/>
      <c r="I3" s="4"/>
      <c r="J3" s="8"/>
      <c r="K3" s="8"/>
      <c r="L3" s="4"/>
    </row>
    <row r="4" ht="15" spans="1:8">
      <c r="A4" t="s">
        <v>115</v>
      </c>
      <c r="C4" s="3">
        <v>1024</v>
      </c>
      <c r="D4" s="3">
        <v>512</v>
      </c>
      <c r="E4" s="3" t="s">
        <v>113</v>
      </c>
      <c r="F4" s="3">
        <f t="shared" ref="F4:F12" si="0">256*512</f>
        <v>131072</v>
      </c>
      <c r="G4" s="3">
        <f>C4*D4+D4</f>
        <v>524800</v>
      </c>
      <c r="H4">
        <f>D4*(2*C4-1)</f>
        <v>1048064</v>
      </c>
    </row>
    <row r="5" ht="15" spans="1:10">
      <c r="A5" s="5" t="s">
        <v>116</v>
      </c>
      <c r="B5" t="s">
        <v>117</v>
      </c>
      <c r="C5" s="3">
        <v>512</v>
      </c>
      <c r="D5" s="3">
        <v>512</v>
      </c>
      <c r="E5" s="3" t="s">
        <v>113</v>
      </c>
      <c r="F5" s="3">
        <f t="shared" si="0"/>
        <v>131072</v>
      </c>
      <c r="G5">
        <v>0</v>
      </c>
      <c r="J5">
        <f>3*F4</f>
        <v>393216</v>
      </c>
    </row>
    <row r="6" ht="15" spans="1:11">
      <c r="A6" s="5"/>
      <c r="B6" s="2" t="s">
        <v>118</v>
      </c>
      <c r="C6" s="3">
        <v>512</v>
      </c>
      <c r="D6" s="3">
        <v>512</v>
      </c>
      <c r="E6" s="3" t="s">
        <v>113</v>
      </c>
      <c r="F6" s="3">
        <f t="shared" si="0"/>
        <v>131072</v>
      </c>
      <c r="G6">
        <v>0</v>
      </c>
      <c r="K6" s="3">
        <f>256*512</f>
        <v>131072</v>
      </c>
    </row>
    <row r="7" ht="15" spans="1:10">
      <c r="A7" s="6" t="s">
        <v>119</v>
      </c>
      <c r="B7" t="s">
        <v>117</v>
      </c>
      <c r="C7" s="3">
        <v>512</v>
      </c>
      <c r="D7" s="3">
        <v>512</v>
      </c>
      <c r="E7" s="3" t="s">
        <v>113</v>
      </c>
      <c r="F7" s="3">
        <f t="shared" si="0"/>
        <v>131072</v>
      </c>
      <c r="G7">
        <v>0</v>
      </c>
      <c r="J7">
        <f>3*F6</f>
        <v>393216</v>
      </c>
    </row>
    <row r="8" ht="15" spans="1:9">
      <c r="A8" s="6"/>
      <c r="B8" t="s">
        <v>120</v>
      </c>
      <c r="C8" s="3">
        <v>512</v>
      </c>
      <c r="D8" s="3">
        <v>512</v>
      </c>
      <c r="E8" s="3" t="s">
        <v>113</v>
      </c>
      <c r="F8" s="3">
        <f t="shared" si="0"/>
        <v>131072</v>
      </c>
      <c r="G8">
        <v>0</v>
      </c>
      <c r="I8" s="3">
        <f>7*256*512</f>
        <v>917504</v>
      </c>
    </row>
    <row r="9" ht="15" spans="1:11">
      <c r="A9" s="6"/>
      <c r="B9" s="2" t="s">
        <v>118</v>
      </c>
      <c r="C9" s="3">
        <v>512</v>
      </c>
      <c r="D9" s="3">
        <v>512</v>
      </c>
      <c r="E9" s="3" t="s">
        <v>113</v>
      </c>
      <c r="F9" s="3">
        <f t="shared" si="0"/>
        <v>131072</v>
      </c>
      <c r="G9">
        <v>0</v>
      </c>
      <c r="K9" s="3">
        <f>256*512</f>
        <v>131072</v>
      </c>
    </row>
    <row r="10" ht="15" spans="1:11">
      <c r="A10" s="6"/>
      <c r="B10" t="s">
        <v>121</v>
      </c>
      <c r="C10" s="3">
        <v>512</v>
      </c>
      <c r="D10" s="3">
        <v>512</v>
      </c>
      <c r="E10" s="3" t="s">
        <v>113</v>
      </c>
      <c r="F10" s="3">
        <f t="shared" si="0"/>
        <v>131072</v>
      </c>
      <c r="G10">
        <v>0</v>
      </c>
      <c r="K10" s="3">
        <f>256*512</f>
        <v>131072</v>
      </c>
    </row>
    <row r="11" ht="15" spans="1:10">
      <c r="A11" s="7" t="s">
        <v>122</v>
      </c>
      <c r="B11" t="s">
        <v>117</v>
      </c>
      <c r="C11" s="3">
        <v>512</v>
      </c>
      <c r="D11" s="3">
        <v>512</v>
      </c>
      <c r="E11" s="3" t="s">
        <v>113</v>
      </c>
      <c r="F11" s="3">
        <f t="shared" si="0"/>
        <v>131072</v>
      </c>
      <c r="G11">
        <v>0</v>
      </c>
      <c r="J11">
        <f>3*F10</f>
        <v>393216</v>
      </c>
    </row>
    <row r="12" ht="15" spans="1:11">
      <c r="A12" s="7"/>
      <c r="B12" s="2" t="s">
        <v>118</v>
      </c>
      <c r="C12" s="3">
        <v>512</v>
      </c>
      <c r="D12" s="3">
        <v>512</v>
      </c>
      <c r="E12" s="3" t="s">
        <v>113</v>
      </c>
      <c r="F12" s="3">
        <f t="shared" si="0"/>
        <v>131072</v>
      </c>
      <c r="G12">
        <v>0</v>
      </c>
      <c r="K12" s="3">
        <f>256*512</f>
        <v>131072</v>
      </c>
    </row>
    <row r="13" spans="7:12">
      <c r="G13">
        <f t="shared" ref="G13:K13" si="1">SUM(G2:G12)</f>
        <v>524800</v>
      </c>
      <c r="H13">
        <f t="shared" si="1"/>
        <v>1048064</v>
      </c>
      <c r="I13">
        <f t="shared" si="1"/>
        <v>917504</v>
      </c>
      <c r="J13">
        <f t="shared" si="1"/>
        <v>1179648</v>
      </c>
      <c r="K13">
        <f t="shared" si="1"/>
        <v>524288</v>
      </c>
      <c r="L13">
        <f>SUM(H13:K13)</f>
        <v>3669504</v>
      </c>
    </row>
  </sheetData>
  <mergeCells count="3">
    <mergeCell ref="A5:A6"/>
    <mergeCell ref="A7:A10"/>
    <mergeCell ref="A11:A1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B4" sqref="B4"/>
    </sheetView>
  </sheetViews>
  <sheetFormatPr defaultColWidth="9" defaultRowHeight="14.4" outlineLevelCol="2"/>
  <cols>
    <col min="1" max="1" width="15.75" customWidth="1"/>
    <col min="2" max="2" width="66.8796296296296" customWidth="1"/>
    <col min="3" max="3" width="96.8796296296296" customWidth="1"/>
  </cols>
  <sheetData>
    <row r="1" spans="1:1">
      <c r="A1" t="s">
        <v>123</v>
      </c>
    </row>
    <row r="2" spans="1:1">
      <c r="A2" s="1" t="s">
        <v>124</v>
      </c>
    </row>
    <row r="3" spans="2:3">
      <c r="B3" t="s">
        <v>32</v>
      </c>
      <c r="C3" t="s">
        <v>2</v>
      </c>
    </row>
    <row r="4" spans="1:3">
      <c r="A4" t="s">
        <v>125</v>
      </c>
      <c r="B4" t="s">
        <v>126</v>
      </c>
      <c r="C4" t="s">
        <v>127</v>
      </c>
    </row>
    <row r="5" spans="1:3">
      <c r="A5" t="s">
        <v>128</v>
      </c>
      <c r="B5" t="s">
        <v>129</v>
      </c>
      <c r="C5" t="s">
        <v>130</v>
      </c>
    </row>
    <row r="6" spans="1:3">
      <c r="A6" t="s">
        <v>131</v>
      </c>
      <c r="B6">
        <v>0</v>
      </c>
      <c r="C6" t="s">
        <v>132</v>
      </c>
    </row>
    <row r="7" spans="1:3">
      <c r="A7" t="s">
        <v>133</v>
      </c>
      <c r="B7">
        <v>0</v>
      </c>
      <c r="C7" t="s">
        <v>134</v>
      </c>
    </row>
    <row r="8" spans="1:3">
      <c r="A8" t="s">
        <v>135</v>
      </c>
      <c r="B8">
        <v>0</v>
      </c>
      <c r="C8" t="s">
        <v>136</v>
      </c>
    </row>
    <row r="9" spans="1:3">
      <c r="A9" t="s">
        <v>137</v>
      </c>
      <c r="B9">
        <v>0</v>
      </c>
      <c r="C9" t="s">
        <v>138</v>
      </c>
    </row>
    <row r="10" spans="1:3">
      <c r="A10" t="s">
        <v>139</v>
      </c>
      <c r="B10">
        <v>0</v>
      </c>
      <c r="C10" t="s">
        <v>140</v>
      </c>
    </row>
    <row r="11" spans="1:3">
      <c r="A11" t="s">
        <v>141</v>
      </c>
      <c r="B11">
        <v>0</v>
      </c>
      <c r="C11" t="s">
        <v>142</v>
      </c>
    </row>
    <row r="12" spans="1:3">
      <c r="A12" t="s">
        <v>143</v>
      </c>
      <c r="B12">
        <v>0</v>
      </c>
      <c r="C12" t="s">
        <v>144</v>
      </c>
    </row>
  </sheetData>
  <hyperlinks>
    <hyperlink ref="A2" r:id="rId1" display="https://github.com/Lyken17/pytorch-OpCounter/blob/master/thop/count_hooks.py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参数和FLOPs对比</vt:lpstr>
      <vt:lpstr>C3D-RGB</vt:lpstr>
      <vt:lpstr>C3DF-Flow</vt:lpstr>
      <vt:lpstr>I3D-RGB</vt:lpstr>
      <vt:lpstr>I3D-Flow</vt:lpstr>
      <vt:lpstr>1-layer LSTM</vt:lpstr>
      <vt:lpstr>FLOPs计算方法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Silentruman</cp:lastModifiedBy>
  <dcterms:created xsi:type="dcterms:W3CDTF">2006-09-16T00:00:00Z</dcterms:created>
  <dcterms:modified xsi:type="dcterms:W3CDTF">2024-10-15T02:43:10Z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B0181E728FBF47A49570553842018EBE_12</vt:lpwstr>
  </property>
</Properties>
</file>