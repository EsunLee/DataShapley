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和FLOPs对比" sheetId="1" state="visible" r:id="rId1"/>
    <sheet name="Sheet" sheetId="2" state="visible" r:id="rId2"/>
    <sheet name="logistic" sheetId="3" state="visible" r:id="rId3"/>
    <sheet name="NN" sheetId="4" state="visible" r:id="rId4"/>
    <sheet name="ShapNN_log" sheetId="5" state="visible" r:id="rId5"/>
    <sheet name="ShapNN_NN" sheetId="6" state="visible" r:id="rId6"/>
    <sheet name="conv" sheetId="7" state="visible" r:id="rId7"/>
    <sheet name="算法总开销" sheetId="8" state="visible" r:id="rId8"/>
    <sheet name="FLOPs计算方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1" fontId="0" fillId="0" borderId="1" pivotButton="0" quotePrefix="0" xfId="0"/>
    <xf numFmtId="164" fontId="0" fillId="0" borderId="1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4" customWidth="1" min="3" max="3"/>
    <col width="22" customWidth="1" min="4" max="4"/>
  </cols>
  <sheetData>
    <row r="1">
      <c r="A1" s="1" t="inlineStr">
        <is>
          <t>模型</t>
        </is>
      </c>
      <c r="B1" s="1" t="inlineStr">
        <is>
          <t>批处理大小</t>
        </is>
      </c>
      <c r="C1" s="1" t="inlineStr">
        <is>
          <t>参数量</t>
        </is>
      </c>
      <c r="D1" s="1" t="inlineStr">
        <is>
          <t>FLOPs（单批前向）</t>
        </is>
      </c>
    </row>
    <row r="2">
      <c r="A2" s="2" t="inlineStr">
        <is>
          <t>logistic（LogisticRegression，100→2 类）</t>
        </is>
      </c>
      <c r="B2" s="2">
        <f>'logistic'!B4</f>
        <v/>
      </c>
      <c r="C2" s="3">
        <f>'logistic'!B11</f>
        <v/>
      </c>
      <c r="D2" s="3">
        <f>'logistic'!B12</f>
        <v/>
      </c>
    </row>
    <row r="3">
      <c r="A3" s="2" t="inlineStr">
        <is>
          <t>NN（MLPClassifier，100→20→2）</t>
        </is>
      </c>
      <c r="B3" s="2">
        <f>'NN'!B5</f>
        <v/>
      </c>
      <c r="C3" s="3">
        <f>'NN'!B13</f>
        <v/>
      </c>
      <c r="D3" s="3">
        <f>'NN'!B14</f>
        <v/>
      </c>
    </row>
    <row r="4">
      <c r="A4" s="2" t="inlineStr">
        <is>
          <t>ShapNN（logistic 场景，100→2，batch=1）</t>
        </is>
      </c>
      <c r="B4" s="2">
        <f>'ShapNN_log'!B4</f>
        <v/>
      </c>
      <c r="C4" s="3">
        <f>'ShapNN_log'!B11</f>
        <v/>
      </c>
      <c r="D4" s="3">
        <f>'ShapNN_log'!B12</f>
        <v/>
      </c>
    </row>
    <row r="5">
      <c r="A5" s="2" t="inlineStr">
        <is>
          <t>ShapNN（NN 场景，100→20→2，batch=1）</t>
        </is>
      </c>
      <c r="B5" s="2">
        <f>'ShapNN_NN'!B5</f>
        <v/>
      </c>
      <c r="C5" s="3">
        <f>'ShapNN_NN'!B13</f>
        <v/>
      </c>
      <c r="D5" s="3">
        <f>'ShapNN_NN'!B14</f>
        <v/>
      </c>
    </row>
    <row r="6">
      <c r="A6" s="2" t="inlineStr">
        <is>
          <t>conv（CShapNN，5×5 卷积 stride=5 → 20 → 2）</t>
        </is>
      </c>
      <c r="B6" s="2">
        <f>'conv'!B10</f>
        <v/>
      </c>
      <c r="C6" s="3">
        <f>'conv'!B19</f>
        <v/>
      </c>
      <c r="D6" s="3">
        <f>'conv'!B20</f>
        <v/>
      </c>
    </row>
    <row r="8">
      <c r="A8" s="4" t="inlineStr">
        <is>
          <t>注：FLOPs = 批处理大小 × 每样本前向 FLOPs（口径见「FLOPs计算方法」页）；树/随机森林/KNN/SVM/NB 无学习权重，不适用卷积/FC 口径。</t>
        </is>
      </c>
    </row>
    <row r="9">
      <c r="A9" s="4" t="inlineStr">
        <is>
          <t>注：批处理大小可改各模型页黄色参数格；三种算法总开销见「算法总开销」页。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20" customWidth="1" min="5" max="5"/>
    <col width="24" customWidth="1" min="6" max="6"/>
    <col width="20" customWidth="1" min="7" max="7"/>
  </cols>
  <sheetData>
    <row r="1">
      <c r="A1" s="5" t="inlineStr">
        <is>
          <t>参数设置（修改黄色单元格后自动重算）</t>
        </is>
      </c>
    </row>
    <row r="2">
      <c r="A2" s="5" t="inlineStr">
        <is>
          <t>输入维度 d</t>
        </is>
      </c>
      <c r="B2" s="6" t="n">
        <v>100</v>
      </c>
    </row>
    <row r="3">
      <c r="A3" s="5" t="inlineStr">
        <is>
          <t>类别数 C</t>
        </is>
      </c>
      <c r="B3" s="6" t="n">
        <v>2</v>
      </c>
    </row>
    <row r="4">
      <c r="A4" s="5" t="inlineStr">
        <is>
          <t>批处理大小</t>
        </is>
      </c>
      <c r="B4" s="6" t="n">
        <v>256</v>
      </c>
    </row>
    <row r="7">
      <c r="A7" s="1" t="inlineStr">
        <is>
          <t>模块名称</t>
        </is>
      </c>
      <c r="B7" s="1" t="inlineStr">
        <is>
          <t>输入维度</t>
        </is>
      </c>
      <c r="C7" s="1" t="inlineStr">
        <is>
          <t>输出维度</t>
        </is>
      </c>
      <c r="D7" s="1" t="inlineStr">
        <is>
          <t>参数量</t>
        </is>
      </c>
      <c r="E7" s="1" t="inlineStr">
        <is>
          <t>FC FLOPs(每样本)</t>
        </is>
      </c>
      <c r="F7" s="1" t="inlineStr">
        <is>
          <t>softmax FLOPs(每样本)</t>
        </is>
      </c>
      <c r="G7" s="1" t="inlineStr">
        <is>
          <t>总FLOPs(每样本)</t>
        </is>
      </c>
    </row>
    <row r="8">
      <c r="A8" s="2" t="inlineStr">
        <is>
          <t>FC（d→C）</t>
        </is>
      </c>
      <c r="B8" s="2">
        <f>B2</f>
        <v/>
      </c>
      <c r="C8" s="2">
        <f>B3</f>
        <v/>
      </c>
      <c r="D8" s="2">
        <f>B8*C8+C8</f>
        <v/>
      </c>
      <c r="E8" s="2">
        <f>C8*(2*B8-1)</f>
        <v/>
      </c>
      <c r="F8" s="2">
        <f>3*C8-1</f>
        <v/>
      </c>
      <c r="G8" s="2">
        <f>E8+F8</f>
        <v/>
      </c>
    </row>
    <row r="9">
      <c r="A9" s="2" t="inlineStr">
        <is>
          <t>合计</t>
        </is>
      </c>
      <c r="B9" s="2" t="n"/>
      <c r="C9" s="2" t="n"/>
      <c r="D9" s="2">
        <f>SUM(D8:D8)</f>
        <v/>
      </c>
      <c r="E9" s="2">
        <f>SUM(E8:E8)</f>
        <v/>
      </c>
      <c r="F9" s="2">
        <f>SUM(F8:F8)</f>
        <v/>
      </c>
      <c r="G9" s="2">
        <f>SUM(G8:G8)</f>
        <v/>
      </c>
    </row>
    <row r="11">
      <c r="A11" s="2" t="inlineStr">
        <is>
          <t>参数量合计</t>
        </is>
      </c>
      <c r="B11" s="2">
        <f>D9</f>
        <v/>
      </c>
    </row>
    <row r="12">
      <c r="A12" s="2" t="inlineStr">
        <is>
          <t>单批前向 FLOPs（×批处理大小）</t>
        </is>
      </c>
      <c r="B12" s="2">
        <f>B4*G9</f>
        <v/>
      </c>
    </row>
    <row r="13">
      <c r="A13" s="4" t="inlineStr">
        <is>
          <t>注：sklearn LogisticRegression（solver=liblinear，shap_utils.py return_model）；softmax 为 predict_proba 内部运算（3C−1）。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  <col width="24" customWidth="1" min="7" max="7"/>
    <col width="20" customWidth="1" min="8" max="8"/>
  </cols>
  <sheetData>
    <row r="1">
      <c r="A1" s="5" t="inlineStr">
        <is>
          <t>参数设置（修改黄色单元格后自动重算）</t>
        </is>
      </c>
    </row>
    <row r="2">
      <c r="A2" s="5" t="inlineStr">
        <is>
          <t>输入维度 d</t>
        </is>
      </c>
      <c r="B2" s="6" t="n">
        <v>100</v>
      </c>
    </row>
    <row r="3">
      <c r="A3" s="5" t="inlineStr">
        <is>
          <t>隐藏层维度 h</t>
        </is>
      </c>
      <c r="B3" s="6" t="n">
        <v>20</v>
      </c>
    </row>
    <row r="4">
      <c r="A4" s="5" t="inlineStr">
        <is>
          <t>类别数 C</t>
        </is>
      </c>
      <c r="B4" s="6" t="n">
        <v>2</v>
      </c>
    </row>
    <row r="5">
      <c r="A5" s="5" t="inlineStr">
        <is>
          <t>批处理大小</t>
        </is>
      </c>
      <c r="B5" s="6" t="n">
        <v>256</v>
      </c>
    </row>
    <row r="8">
      <c r="A8" s="1" t="inlineStr">
        <is>
          <t>模块名称</t>
        </is>
      </c>
      <c r="B8" s="1" t="inlineStr">
        <is>
          <t>输入维度</t>
        </is>
      </c>
      <c r="C8" s="1" t="inlineStr">
        <is>
          <t>输出维度</t>
        </is>
      </c>
      <c r="D8" s="1" t="inlineStr">
        <is>
          <t>参数量</t>
        </is>
      </c>
      <c r="E8" s="1" t="inlineStr">
        <is>
          <t>FC FLOPs(每样本)</t>
        </is>
      </c>
      <c r="F8" s="1" t="inlineStr">
        <is>
          <t>relu FLOPs(每样本)</t>
        </is>
      </c>
      <c r="G8" s="1" t="inlineStr">
        <is>
          <t>softmax FLOPs(每样本)</t>
        </is>
      </c>
      <c r="H8" s="1" t="inlineStr">
        <is>
          <t>总FLOPs(每样本)</t>
        </is>
      </c>
    </row>
    <row r="9">
      <c r="A9" s="2" t="inlineStr">
        <is>
          <t>FC1（d→h）+relu</t>
        </is>
      </c>
      <c r="B9" s="2">
        <f>B2</f>
        <v/>
      </c>
      <c r="C9" s="2">
        <f>B3</f>
        <v/>
      </c>
      <c r="D9" s="2">
        <f>B9*C9+C9</f>
        <v/>
      </c>
      <c r="E9" s="2">
        <f>C9*(2*B9-1)</f>
        <v/>
      </c>
      <c r="F9" s="2">
        <f>C9</f>
        <v/>
      </c>
      <c r="G9" s="2" t="n"/>
      <c r="H9" s="2">
        <f>E9+F9</f>
        <v/>
      </c>
    </row>
    <row r="10">
      <c r="A10" s="2" t="inlineStr">
        <is>
          <t>FC2（h→C）+softmax</t>
        </is>
      </c>
      <c r="B10" s="2">
        <f>B3</f>
        <v/>
      </c>
      <c r="C10" s="2">
        <f>B4</f>
        <v/>
      </c>
      <c r="D10" s="2">
        <f>B10*C10+C10</f>
        <v/>
      </c>
      <c r="E10" s="2">
        <f>C10*(2*B10-1)</f>
        <v/>
      </c>
      <c r="F10" s="2" t="n">
        <v>0</v>
      </c>
      <c r="G10" s="2">
        <f>3*C10-1</f>
        <v/>
      </c>
      <c r="H10" s="2">
        <f>E10+F10+G10</f>
        <v/>
      </c>
    </row>
    <row r="11">
      <c r="A11" s="2" t="inlineStr">
        <is>
          <t>合计</t>
        </is>
      </c>
      <c r="B11" s="2" t="n"/>
      <c r="C11" s="2" t="n"/>
      <c r="D11" s="2">
        <f>SUM(D9:D10)</f>
        <v/>
      </c>
      <c r="E11" s="2">
        <f>SUM(E9:E10)</f>
        <v/>
      </c>
      <c r="F11" s="2">
        <f>SUM(F9:F10)</f>
        <v/>
      </c>
      <c r="G11" s="2">
        <f>SUM(G9:G10)</f>
        <v/>
      </c>
      <c r="H11" s="2">
        <f>SUM(H9:H10)</f>
        <v/>
      </c>
    </row>
    <row r="13">
      <c r="A13" s="2" t="inlineStr">
        <is>
          <t>参数量合计</t>
        </is>
      </c>
      <c r="B13" s="2">
        <f>D11</f>
        <v/>
      </c>
    </row>
    <row r="14">
      <c r="A14" s="2" t="inlineStr">
        <is>
          <t>单批前向 FLOPs（×批处理大小）</t>
        </is>
      </c>
      <c r="B14" s="2">
        <f>B5*H11</f>
        <v/>
      </c>
    </row>
    <row r="15">
      <c r="A15" s="4" t="inlineStr">
        <is>
          <t>注：sklearn MLPClassifier（solver=adam，activation=relu），默认 hidden_layer_sizes=(20,)；输出层线性 + softmax。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20" customWidth="1" min="5" max="5"/>
    <col width="24" customWidth="1" min="6" max="6"/>
    <col width="20" customWidth="1" min="7" max="7"/>
  </cols>
  <sheetData>
    <row r="1">
      <c r="A1" s="5" t="inlineStr">
        <is>
          <t>参数设置（修改黄色单元格后自动重算）</t>
        </is>
      </c>
    </row>
    <row r="2">
      <c r="A2" s="5" t="inlineStr">
        <is>
          <t>输入维度 d</t>
        </is>
      </c>
      <c r="B2" s="6" t="n">
        <v>100</v>
      </c>
    </row>
    <row r="3">
      <c r="A3" s="5" t="inlineStr">
        <is>
          <t>类别数 C</t>
        </is>
      </c>
      <c r="B3" s="6" t="n">
        <v>2</v>
      </c>
    </row>
    <row r="4">
      <c r="A4" s="5" t="inlineStr">
        <is>
          <t>批处理大小</t>
        </is>
      </c>
      <c r="B4" s="6" t="n">
        <v>1</v>
      </c>
    </row>
    <row r="7">
      <c r="A7" s="1" t="inlineStr">
        <is>
          <t>模块名称</t>
        </is>
      </c>
      <c r="B7" s="1" t="inlineStr">
        <is>
          <t>输入维度</t>
        </is>
      </c>
      <c r="C7" s="1" t="inlineStr">
        <is>
          <t>输出维度</t>
        </is>
      </c>
      <c r="D7" s="1" t="inlineStr">
        <is>
          <t>参数量</t>
        </is>
      </c>
      <c r="E7" s="1" t="inlineStr">
        <is>
          <t>FC FLOPs(每样本)</t>
        </is>
      </c>
      <c r="F7" s="1" t="inlineStr">
        <is>
          <t>softmax FLOPs(每样本)</t>
        </is>
      </c>
      <c r="G7" s="1" t="inlineStr">
        <is>
          <t>总FLOPs(每样本)</t>
        </is>
      </c>
    </row>
    <row r="8">
      <c r="A8" s="2" t="inlineStr">
        <is>
          <t>FC（d→C）</t>
        </is>
      </c>
      <c r="B8" s="2">
        <f>B2</f>
        <v/>
      </c>
      <c r="C8" s="2">
        <f>B3</f>
        <v/>
      </c>
      <c r="D8" s="2">
        <f>B8*C8+C8</f>
        <v/>
      </c>
      <c r="E8" s="2">
        <f>C8*(2*B8-1)</f>
        <v/>
      </c>
      <c r="F8" s="2">
        <f>3*C8-1</f>
        <v/>
      </c>
      <c r="G8" s="2">
        <f>E8+F8</f>
        <v/>
      </c>
    </row>
    <row r="9">
      <c r="A9" s="2" t="inlineStr">
        <is>
          <t>合计</t>
        </is>
      </c>
      <c r="B9" s="2" t="n"/>
      <c r="C9" s="2" t="n"/>
      <c r="D9" s="2">
        <f>SUM(D8:D8)</f>
        <v/>
      </c>
      <c r="E9" s="2">
        <f>SUM(E8:E8)</f>
        <v/>
      </c>
      <c r="F9" s="2">
        <f>SUM(F8:F8)</f>
        <v/>
      </c>
      <c r="G9" s="2">
        <f>SUM(G8:G8)</f>
        <v/>
      </c>
    </row>
    <row r="11">
      <c r="A11" s="2" t="inlineStr">
        <is>
          <t>参数量合计</t>
        </is>
      </c>
      <c r="B11" s="2">
        <f>D9</f>
        <v/>
      </c>
    </row>
    <row r="12">
      <c r="A12" s="2" t="inlineStr">
        <is>
          <t>单批前向 FLOPs（×批处理大小）</t>
        </is>
      </c>
      <c r="B12" s="2">
        <f>B4*G9</f>
        <v/>
      </c>
    </row>
    <row r="13">
      <c r="A13" s="4" t="inlineStr">
        <is>
          <t>注：ShapNN（Shapley.py _build_model），hidden_units=[]（logistic 场景），_g_shap 中 batch_size=1。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  <col width="24" customWidth="1" min="7" max="7"/>
    <col width="20" customWidth="1" min="8" max="8"/>
  </cols>
  <sheetData>
    <row r="1">
      <c r="A1" s="5" t="inlineStr">
        <is>
          <t>参数设置（修改黄色单元格后自动重算）</t>
        </is>
      </c>
    </row>
    <row r="2">
      <c r="A2" s="5" t="inlineStr">
        <is>
          <t>输入维度 d</t>
        </is>
      </c>
      <c r="B2" s="6" t="n">
        <v>100</v>
      </c>
    </row>
    <row r="3">
      <c r="A3" s="5" t="inlineStr">
        <is>
          <t>隐藏层维度 h</t>
        </is>
      </c>
      <c r="B3" s="6" t="n">
        <v>20</v>
      </c>
    </row>
    <row r="4">
      <c r="A4" s="5" t="inlineStr">
        <is>
          <t>类别数 C</t>
        </is>
      </c>
      <c r="B4" s="6" t="n">
        <v>2</v>
      </c>
    </row>
    <row r="5">
      <c r="A5" s="5" t="inlineStr">
        <is>
          <t>批处理大小</t>
        </is>
      </c>
      <c r="B5" s="6" t="n">
        <v>1</v>
      </c>
    </row>
    <row r="8">
      <c r="A8" s="1" t="inlineStr">
        <is>
          <t>模块名称</t>
        </is>
      </c>
      <c r="B8" s="1" t="inlineStr">
        <is>
          <t>输入维度</t>
        </is>
      </c>
      <c r="C8" s="1" t="inlineStr">
        <is>
          <t>输出维度</t>
        </is>
      </c>
      <c r="D8" s="1" t="inlineStr">
        <is>
          <t>参数量</t>
        </is>
      </c>
      <c r="E8" s="1" t="inlineStr">
        <is>
          <t>FC FLOPs(每样本)</t>
        </is>
      </c>
      <c r="F8" s="1" t="inlineStr">
        <is>
          <t>relu FLOPs(每样本)</t>
        </is>
      </c>
      <c r="G8" s="1" t="inlineStr">
        <is>
          <t>softmax FLOPs(每样本)</t>
        </is>
      </c>
      <c r="H8" s="1" t="inlineStr">
        <is>
          <t>总FLOPs(每样本)</t>
        </is>
      </c>
    </row>
    <row r="9">
      <c r="A9" s="2" t="inlineStr">
        <is>
          <t>FC1（d→h）+relu</t>
        </is>
      </c>
      <c r="B9" s="2">
        <f>B2</f>
        <v/>
      </c>
      <c r="C9" s="2">
        <f>B3</f>
        <v/>
      </c>
      <c r="D9" s="2">
        <f>B9*C9+C9</f>
        <v/>
      </c>
      <c r="E9" s="2">
        <f>C9*(2*B9-1)</f>
        <v/>
      </c>
      <c r="F9" s="2">
        <f>C9</f>
        <v/>
      </c>
      <c r="G9" s="2" t="n"/>
      <c r="H9" s="2">
        <f>E9+F9</f>
        <v/>
      </c>
    </row>
    <row r="10">
      <c r="A10" s="2" t="inlineStr">
        <is>
          <t>FC2（h→C）+softmax</t>
        </is>
      </c>
      <c r="B10" s="2">
        <f>B3</f>
        <v/>
      </c>
      <c r="C10" s="2">
        <f>B4</f>
        <v/>
      </c>
      <c r="D10" s="2">
        <f>B10*C10+C10</f>
        <v/>
      </c>
      <c r="E10" s="2">
        <f>C10*(2*B10-1)</f>
        <v/>
      </c>
      <c r="F10" s="2" t="n">
        <v>0</v>
      </c>
      <c r="G10" s="2">
        <f>3*C10-1</f>
        <v/>
      </c>
      <c r="H10" s="2">
        <f>E10+F10+G10</f>
        <v/>
      </c>
    </row>
    <row r="11">
      <c r="A11" s="2" t="inlineStr">
        <is>
          <t>合计</t>
        </is>
      </c>
      <c r="B11" s="2" t="n"/>
      <c r="C11" s="2" t="n"/>
      <c r="D11" s="2">
        <f>SUM(D9:D10)</f>
        <v/>
      </c>
      <c r="E11" s="2">
        <f>SUM(E9:E10)</f>
        <v/>
      </c>
      <c r="F11" s="2">
        <f>SUM(F9:F10)</f>
        <v/>
      </c>
      <c r="G11" s="2">
        <f>SUM(G9:G10)</f>
        <v/>
      </c>
      <c r="H11" s="2">
        <f>SUM(H9:H10)</f>
        <v/>
      </c>
    </row>
    <row r="13">
      <c r="A13" s="2" t="inlineStr">
        <is>
          <t>参数量合计</t>
        </is>
      </c>
      <c r="B13" s="2">
        <f>D11</f>
        <v/>
      </c>
    </row>
    <row r="14">
      <c r="A14" s="2" t="inlineStr">
        <is>
          <t>单批前向 FLOPs（×批处理大小）</t>
        </is>
      </c>
      <c r="B14" s="2">
        <f>B5*H11</f>
        <v/>
      </c>
    </row>
    <row r="15">
      <c r="A15" s="4" t="inlineStr">
        <is>
          <t>注：ShapNN（Shapley.py _build_model），hidden_units=(20,)（NN 场景），_g_shap 中 batch_size=1。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2" customWidth="1" min="3" max="3"/>
    <col width="22" customWidth="1" min="4" max="4"/>
    <col width="20" customWidth="1" min="5" max="5"/>
    <col width="20" customWidth="1" min="6" max="6"/>
    <col width="24" customWidth="1" min="7" max="7"/>
    <col width="20" customWidth="1" min="8" max="8"/>
  </cols>
  <sheetData>
    <row r="1">
      <c r="A1" s="5" t="inlineStr">
        <is>
          <t>参数设置（修改黄色单元格后自动重算）</t>
        </is>
      </c>
    </row>
    <row r="2">
      <c r="A2" s="5" t="inlineStr">
        <is>
          <t>输入行数 n</t>
        </is>
      </c>
      <c r="B2" s="6" t="n">
        <v>100</v>
      </c>
    </row>
    <row r="3">
      <c r="A3" s="5" t="inlineStr">
        <is>
          <t>输入列数 d</t>
        </is>
      </c>
      <c r="B3" s="6" t="n">
        <v>100</v>
      </c>
    </row>
    <row r="4">
      <c r="A4" s="5" t="inlineStr">
        <is>
          <t>核尺寸 k</t>
        </is>
      </c>
      <c r="B4" s="6" t="n">
        <v>5</v>
      </c>
    </row>
    <row r="5">
      <c r="A5" s="5" t="inlineStr">
        <is>
          <t>步长 s</t>
        </is>
      </c>
      <c r="B5" s="6" t="n">
        <v>5</v>
      </c>
    </row>
    <row r="6">
      <c r="A6" s="5" t="inlineStr">
        <is>
          <t>输入通道</t>
        </is>
      </c>
      <c r="B6" s="6" t="n">
        <v>1</v>
      </c>
    </row>
    <row r="7">
      <c r="A7" s="5" t="inlineStr">
        <is>
          <t>输出通道</t>
        </is>
      </c>
      <c r="B7" s="6" t="n">
        <v>1</v>
      </c>
    </row>
    <row r="8">
      <c r="A8" s="5" t="inlineStr">
        <is>
          <t>隐藏层维度 h</t>
        </is>
      </c>
      <c r="B8" s="6" t="n">
        <v>20</v>
      </c>
    </row>
    <row r="9">
      <c r="A9" s="5" t="inlineStr">
        <is>
          <t>类别数 C</t>
        </is>
      </c>
      <c r="B9" s="6" t="n">
        <v>2</v>
      </c>
    </row>
    <row r="10">
      <c r="A10" s="5" t="inlineStr">
        <is>
          <t>批处理大小</t>
        </is>
      </c>
      <c r="B10" s="6" t="n">
        <v>256</v>
      </c>
    </row>
    <row r="13">
      <c r="A13" s="1" t="inlineStr">
        <is>
          <t>模块名称</t>
        </is>
      </c>
      <c r="B13" s="1" t="inlineStr">
        <is>
          <t>输出尺寸大小(每样本)</t>
        </is>
      </c>
      <c r="C13" s="1" t="inlineStr">
        <is>
          <t>参数量</t>
        </is>
      </c>
      <c r="D13" s="1" t="inlineStr">
        <is>
          <t>卷积FLOPs(每样本)</t>
        </is>
      </c>
      <c r="E13" s="1" t="inlineStr">
        <is>
          <t>FC FLOPs(每样本)</t>
        </is>
      </c>
      <c r="F13" s="1" t="inlineStr">
        <is>
          <t>relu FLOPs(每样本)</t>
        </is>
      </c>
      <c r="G13" s="1" t="inlineStr">
        <is>
          <t>softmax FLOPs(每样本)</t>
        </is>
      </c>
      <c r="H13" s="1" t="inlineStr">
        <is>
          <t>总FLOPs(每样本)</t>
        </is>
      </c>
    </row>
    <row r="14">
      <c r="A14" s="2" t="inlineStr">
        <is>
          <t>卷积（k×k，SAME，stride s）+relu</t>
        </is>
      </c>
      <c r="B14" s="2">
        <f>ROUNDUP(B2/B5,0)*ROUNDUP(B3/B5,0)</f>
        <v/>
      </c>
      <c r="C14" s="2">
        <f>B7*(B6*B4*B4)+B7</f>
        <v/>
      </c>
      <c r="D14" s="2">
        <f>B7*B14*(2*B6*B4*B4+1)</f>
        <v/>
      </c>
      <c r="E14" s="2" t="n"/>
      <c r="F14" s="2">
        <f>B14</f>
        <v/>
      </c>
      <c r="G14" s="2" t="n"/>
      <c r="H14" s="2">
        <f>D14+F14</f>
        <v/>
      </c>
    </row>
    <row r="15">
      <c r="A15" s="2" t="inlineStr">
        <is>
          <t>FC1（→h）+relu</t>
        </is>
      </c>
      <c r="B15" s="2">
        <f>B14</f>
        <v/>
      </c>
      <c r="C15" s="2">
        <f>B8*B15+B8</f>
        <v/>
      </c>
      <c r="D15" s="2" t="n"/>
      <c r="E15" s="2">
        <f>B8*(2*B15-1)</f>
        <v/>
      </c>
      <c r="F15" s="2">
        <f>B8</f>
        <v/>
      </c>
      <c r="G15" s="2" t="n"/>
      <c r="H15" s="2">
        <f>E15+F15</f>
        <v/>
      </c>
    </row>
    <row r="16">
      <c r="A16" s="2" t="inlineStr">
        <is>
          <t>FC2（h→C）+softmax</t>
        </is>
      </c>
      <c r="B16" s="2">
        <f>B8</f>
        <v/>
      </c>
      <c r="C16" s="2">
        <f>B9*B16+B9</f>
        <v/>
      </c>
      <c r="D16" s="2" t="n"/>
      <c r="E16" s="2">
        <f>B9*(2*B16-1)</f>
        <v/>
      </c>
      <c r="F16" s="2" t="n">
        <v>0</v>
      </c>
      <c r="G16" s="2">
        <f>3*B9-1</f>
        <v/>
      </c>
      <c r="H16" s="2">
        <f>E16+F16+G16</f>
        <v/>
      </c>
    </row>
    <row r="17">
      <c r="A17" s="2" t="inlineStr">
        <is>
          <t>合计</t>
        </is>
      </c>
      <c r="B17" s="2" t="n"/>
      <c r="C17" s="2">
        <f>SUM(C14:C16)</f>
        <v/>
      </c>
      <c r="D17" s="2">
        <f>SUM(D14:D16)</f>
        <v/>
      </c>
      <c r="E17" s="2">
        <f>SUM(E14:E16)</f>
        <v/>
      </c>
      <c r="F17" s="2">
        <f>SUM(F14:F16)</f>
        <v/>
      </c>
      <c r="G17" s="2">
        <f>SUM(G14:G16)</f>
        <v/>
      </c>
      <c r="H17" s="2">
        <f>SUM(H14:H16)</f>
        <v/>
      </c>
    </row>
    <row r="19">
      <c r="A19" s="2" t="inlineStr">
        <is>
          <t>参数量合计</t>
        </is>
      </c>
      <c r="B19" s="2">
        <f>C17</f>
        <v/>
      </c>
    </row>
    <row r="20">
      <c r="A20" s="2" t="inlineStr">
        <is>
          <t>单批前向 FLOPs（×批处理大小）</t>
        </is>
      </c>
      <c r="B20" s="2">
        <f>B10*H17</f>
        <v/>
      </c>
    </row>
    <row r="21">
      <c r="A21" s="4" t="inlineStr">
        <is>
          <t>注：CShapNN（Shapley.py _build_model）：输入 (n,d) reshape 为 (n,d,1)，conv2d SAME+stride，global_averaging=False 时 flatten 后接 dense；relu 含卷积输出与 FC1 输出。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0" customWidth="1" min="4" max="4"/>
    <col width="12" customWidth="1" min="5" max="5"/>
  </cols>
  <sheetData>
    <row r="1">
      <c r="A1" s="5" t="inlineStr">
        <is>
          <t>参数设置（修改黄色单元格后自动重算）</t>
        </is>
      </c>
    </row>
    <row r="2">
      <c r="A2" s="5" t="inlineStr">
        <is>
          <t>n（训练样本数）</t>
        </is>
      </c>
      <c r="B2" s="6" t="n">
        <v>1000</v>
      </c>
    </row>
    <row r="3">
      <c r="A3" s="5" t="inlineStr">
        <is>
          <t>d（特征维度）</t>
        </is>
      </c>
      <c r="B3" s="6" t="n">
        <v>100</v>
      </c>
    </row>
    <row r="4">
      <c r="A4" s="5" t="inlineStr">
        <is>
          <t>|X_test|（测试样本数）</t>
        </is>
      </c>
      <c r="B4" s="6" t="n">
        <v>1000</v>
      </c>
    </row>
    <row r="5">
      <c r="A5" s="5" t="inlineStr">
        <is>
          <t>n_iter（liblinear 平均迭代次数）</t>
        </is>
      </c>
      <c r="B5" s="6" t="n">
        <v>20</v>
      </c>
    </row>
    <row r="6">
      <c r="A6" s="5" t="inlineStr">
        <is>
          <t>TMC 迭代次数</t>
        </is>
      </c>
      <c r="B6" s="6" t="n">
        <v>100</v>
      </c>
    </row>
    <row r="7">
      <c r="A7" s="5" t="inlineStr">
        <is>
          <t>截断比例 α（平均使用前 α·n 个样本）</t>
        </is>
      </c>
      <c r="B7" s="6" t="n">
        <v>0.6</v>
      </c>
    </row>
    <row r="8">
      <c r="A8" s="5" t="inlineStr">
        <is>
          <t>G 迭代轮数</t>
        </is>
      </c>
      <c r="B8" s="6" t="n">
        <v>100</v>
      </c>
    </row>
    <row r="9">
      <c r="A9" s="5" t="inlineStr">
        <is>
          <t>单样本前向 FLOPs f（logistic，引用 logistic 页）</t>
        </is>
      </c>
      <c r="B9" s="6">
        <f>'logistic'!G9</f>
        <v/>
      </c>
    </row>
    <row r="10">
      <c r="A10" s="5" t="inlineStr">
        <is>
          <t>单次 fit 成本 C(n)=n_iter×2×n×d</t>
        </is>
      </c>
      <c r="B10" s="6">
        <f>B5*2*B2*B3</f>
        <v/>
      </c>
    </row>
    <row r="13">
      <c r="A13" s="1" t="inlineStr">
        <is>
          <t>算法</t>
        </is>
      </c>
      <c r="B13" s="1" t="inlineStr">
        <is>
          <t>训练成本(FLOPs)</t>
        </is>
      </c>
      <c r="C13" s="1" t="inlineStr">
        <is>
          <t>评估成本(FLOPs)</t>
        </is>
      </c>
      <c r="D13" s="1" t="inlineStr">
        <is>
          <t>合计(FLOPs)</t>
        </is>
      </c>
      <c r="E13" s="1" t="inlineStr">
        <is>
          <t>占比</t>
        </is>
      </c>
    </row>
    <row r="14">
      <c r="A14" s="2" t="inlineStr">
        <is>
          <t>LOO（留一法）</t>
        </is>
      </c>
      <c r="B14" s="7">
        <f>(B2+1)*B10</f>
        <v/>
      </c>
      <c r="C14" s="7">
        <f>(B2+1)*B4*B9</f>
        <v/>
      </c>
      <c r="D14" s="7">
        <f>B14+C14</f>
        <v/>
      </c>
      <c r="E14" s="8">
        <f>D14/$D$17</f>
        <v/>
      </c>
    </row>
    <row r="15">
      <c r="A15" s="2" t="inlineStr">
        <is>
          <t>TMC（截断蒙特卡洛）</t>
        </is>
      </c>
      <c r="B15" s="7">
        <f>B6*(B5*2*B3*B7*B2*(B7*B2+1)/2)</f>
        <v/>
      </c>
      <c r="C15" s="7">
        <f>B6*B7*B2*B4*B9</f>
        <v/>
      </c>
      <c r="D15" s="7">
        <f>B15+C15</f>
        <v/>
      </c>
      <c r="E15" s="8">
        <f>D15/$D$17</f>
        <v/>
      </c>
    </row>
    <row r="16">
      <c r="A16" s="2" t="inlineStr">
        <is>
          <t>G-Shapley（梯度近似）</t>
        </is>
      </c>
      <c r="B16" s="7">
        <f>160*B2*3*B9+B8*B2*3*B9</f>
        <v/>
      </c>
      <c r="C16" s="7">
        <f>B8*B2*B4*B9</f>
        <v/>
      </c>
      <c r="D16" s="7">
        <f>B16+C16</f>
        <v/>
      </c>
      <c r="E16" s="8">
        <f>D16/$D$17</f>
        <v/>
      </c>
    </row>
    <row r="17">
      <c r="A17" s="2" t="inlineStr">
        <is>
          <t>总计</t>
        </is>
      </c>
      <c r="B17" s="7">
        <f>SUM(B14:B16)</f>
        <v/>
      </c>
      <c r="C17" s="7">
        <f>SUM(C14:C16)</f>
        <v/>
      </c>
      <c r="D17" s="7">
        <f>SUM(D14:D16)</f>
        <v/>
      </c>
      <c r="E17" s="8">
        <f>SUM(E14:E16)</f>
        <v/>
      </c>
    </row>
    <row r="19">
      <c r="A19" s="4" t="inlineStr">
        <is>
          <t>注：G 训练成本含学习率搜索（8 个 lr × 10 次 × 2 fit = 160 次小训练）与主循环 n 步（每步 1 样本 train_op ≈ 3×f）；评估为每步一次全测试集前向（|X_test|×f）。</t>
        </is>
      </c>
    </row>
    <row r="20">
      <c r="A20" s="4" t="inlineStr">
        <is>
          <t>注：TMC 每迭代 = Σ_{k=1..α·n} C(k) + α·n 次测试评估；LOO = (n+1) 次 fit + (n+1) 次评估。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60" customWidth="1" min="3" max="3"/>
  </cols>
  <sheetData>
    <row r="1">
      <c r="A1" s="5" t="inlineStr">
        <is>
          <t>计算依据（与 C3D-I3D-LSTM网络结构与参数量-FLOPs.xlsx 一致）</t>
        </is>
      </c>
    </row>
    <row r="2">
      <c r="A2" t="inlineStr">
        <is>
          <t>https://github.com/Lyken17/pytorch-OpCounter/blob/master/thop/count_hooks.py</t>
        </is>
      </c>
    </row>
    <row r="4">
      <c r="A4" s="1" t="inlineStr">
        <is>
          <t>层类型</t>
        </is>
      </c>
      <c r="B4" s="1" t="inlineStr">
        <is>
          <t>参数量</t>
        </is>
      </c>
      <c r="C4" s="1" t="inlineStr">
        <is>
          <t>FLOPs(每样本)</t>
        </is>
      </c>
    </row>
    <row r="5">
      <c r="A5" s="2" t="inlineStr">
        <is>
          <t>Conv layer</t>
        </is>
      </c>
      <c r="B5" s="2" t="inlineStr">
        <is>
          <t>输出通道数×(输入通道数×核尺寸²)+输出通道数</t>
        </is>
      </c>
      <c r="C5" s="2" t="inlineStr">
        <is>
          <t>输出通道数×输出宽×输出高×(2×输入通道数×核尺寸²+1)</t>
        </is>
      </c>
    </row>
    <row r="6">
      <c r="A6" s="2" t="inlineStr">
        <is>
          <t>FC layer</t>
        </is>
      </c>
      <c r="B6" s="2" t="inlineStr">
        <is>
          <t>输出维度×输入维度+输出维度</t>
        </is>
      </c>
      <c r="C6" s="2" t="inlineStr">
        <is>
          <t>输出维度×(2×输入维度−1)</t>
        </is>
      </c>
    </row>
    <row r="7">
      <c r="A7" s="2" t="inlineStr">
        <is>
          <t>relu layer</t>
        </is>
      </c>
      <c r="B7" s="2" t="inlineStr">
        <is>
          <t>0</t>
        </is>
      </c>
      <c r="C7" s="2" t="inlineStr">
        <is>
          <t>元素数</t>
        </is>
      </c>
    </row>
    <row r="8">
      <c r="A8" s="2" t="inlineStr">
        <is>
          <t>softmax layer</t>
        </is>
      </c>
      <c r="B8" s="2" t="inlineStr">
        <is>
          <t>0</t>
        </is>
      </c>
      <c r="C8" s="2" t="inlineStr">
        <is>
          <t>3×类别数−1</t>
        </is>
      </c>
    </row>
    <row r="9">
      <c r="A9" s="2" t="inlineStr">
        <is>
          <t>sigmoid layer</t>
        </is>
      </c>
      <c r="B9" s="2" t="inlineStr">
        <is>
          <t>0</t>
        </is>
      </c>
      <c r="C9" s="2" t="inlineStr">
        <is>
          <t>3×元素数</t>
        </is>
      </c>
    </row>
    <row r="10">
      <c r="A10" s="2" t="inlineStr">
        <is>
          <t>tanh layer</t>
        </is>
      </c>
      <c r="B10" s="2" t="inlineStr">
        <is>
          <t>0</t>
        </is>
      </c>
      <c r="C10" s="2" t="inlineStr">
        <is>
          <t>7×元素数</t>
        </is>
      </c>
    </row>
    <row r="11">
      <c r="A11" s="2" t="inlineStr">
        <is>
          <t>BN layer</t>
        </is>
      </c>
      <c r="B11" s="2" t="inlineStr">
        <is>
          <t>0</t>
        </is>
      </c>
      <c r="C11" s="2" t="inlineStr">
        <is>
          <t>4×元素数</t>
        </is>
      </c>
    </row>
    <row r="13">
      <c r="A13" s="5" t="inlineStr">
        <is>
          <t>汇总：FLOPs = 批处理大小 × 每样本 FLOPs。</t>
        </is>
      </c>
    </row>
    <row r="15">
      <c r="A15" s="9" t="inlineStr">
        <is>
          <t>算法级（本仓库口径，详见各模型页与算法总开销页）</t>
        </is>
      </c>
      <c r="B15" s="9" t="inlineStr"/>
      <c r="C15" s="9" t="inlineStr"/>
    </row>
    <row r="16">
      <c r="A16" t="inlineStr">
        <is>
          <t>单次 fit（logistic，规模 k）</t>
        </is>
      </c>
      <c r="B16" t="inlineStr">
        <is>
          <t>C(k) ≈ n_iter × 2 × k × d</t>
        </is>
      </c>
      <c r="C16" t="inlineStr">
        <is>
          <t>liblinear 坐标下降，n_iter 为内部迭代次数</t>
        </is>
      </c>
    </row>
    <row r="17">
      <c r="A17" t="inlineStr">
        <is>
          <t>LOO</t>
        </is>
      </c>
      <c r="B17" t="inlineStr">
        <is>
          <t>(n+1)×C(n) + (n+1)×|X_test|×f</t>
        </is>
      </c>
      <c r="C17" t="inlineStr">
        <is>
          <t>1 次全量 fit + n 次删一 fit，每次 fit 后一次测试评估</t>
        </is>
      </c>
    </row>
    <row r="18">
      <c r="A18" t="inlineStr">
        <is>
          <t>TMC</t>
        </is>
      </c>
      <c r="B18" t="inlineStr">
        <is>
          <t>T×[Σ_{k=1..αn} C(k) + αn×|X_test|×f]</t>
        </is>
      </c>
      <c r="C18" t="inlineStr">
        <is>
          <t>每次迭代从 1 个样本累加到 αn 个样本，逐次重训</t>
        </is>
      </c>
    </row>
    <row r="19">
      <c r="A19" t="inlineStr">
        <is>
          <t>G-Shapley</t>
        </is>
      </c>
      <c r="B19" t="inlineStr">
        <is>
          <t>160×n×3f + T_g×n×(3f + |X_test|×f)</t>
        </is>
      </c>
      <c r="C19" t="inlineStr">
        <is>
          <t>160 次学习率搜索小训练 + 每轮 n 步(1 样本训练+全测试集评估)</t>
        </is>
      </c>
    </row>
    <row r="20">
      <c r="A20" t="inlineStr">
        <is>
          <t>神经网络训练</t>
        </is>
      </c>
      <c r="B20" t="inlineStr">
        <is>
          <t>≈ 3 × 前向 FLOPs × 样本数 × epochs</t>
        </is>
      </c>
      <c r="C20" t="inlineStr">
        <is>
          <t>前向+反向+参数更新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2026-08-07T03:08:47Z</dcterms:created>
  <dcterms:modified xsi:type="dcterms:W3CDTF">2026-08-07T03:08:47Z</dcterms:modified>
</cp:coreProperties>
</file>